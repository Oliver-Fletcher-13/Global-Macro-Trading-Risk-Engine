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ad58c0dc3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a6bab20f8d84866"/>
    <x:sheet xmlns:r="http://schemas.openxmlformats.org/officeDocument/2006/relationships" name="Regime Engine" sheetId="2" r:id="R6d5b6f55c961412e"/>
    <x:sheet xmlns:r="http://schemas.openxmlformats.org/officeDocument/2006/relationships" name="Backtest" sheetId="3" r:id="R72d8b1b30c664894"/>
    <x:sheet xmlns:r="http://schemas.openxmlformats.org/officeDocument/2006/relationships" name="Attribution" sheetId="4" r:id="R28ea5f62ec6645b0"/>
    <x:sheet xmlns:r="http://schemas.openxmlformats.org/officeDocument/2006/relationships" name="Optimization Lab" sheetId="5" r:id="R239c3554810d4b97"/>
    <x:sheet xmlns:r="http://schemas.openxmlformats.org/officeDocument/2006/relationships" name="Risk Analytics" sheetId="6" r:id="R56828e5528674376"/>
    <x:sheet xmlns:r="http://schemas.openxmlformats.org/officeDocument/2006/relationships" name="Performance Diagnostics" sheetId="7" r:id="R4d21454c97cb4fd0"/>
    <x:sheet xmlns:r="http://schemas.openxmlformats.org/officeDocument/2006/relationships" name="Monte Carlo" sheetId="8" r:id="R64adfa7d5bea461f"/>
    <x:sheet xmlns:r="http://schemas.openxmlformats.org/officeDocument/2006/relationships" name="Bond Analytics" sheetId="9" r:id="Re890a3fadd5f4426"/>
    <x:sheet xmlns:r="http://schemas.openxmlformats.org/officeDocument/2006/relationships" name="Options Model" sheetId="10" r:id="R7fd1535ee14b4f82"/>
    <x:sheet xmlns:r="http://schemas.openxmlformats.org/officeDocument/2006/relationships" name="FX Model" sheetId="11" r:id="R970f59640c154273"/>
    <x:sheet xmlns:r="http://schemas.openxmlformats.org/officeDocument/2006/relationships" name="Factor Model" sheetId="12" r:id="Rba5a61b6b0c84a57"/>
    <x:sheet xmlns:r="http://schemas.openxmlformats.org/officeDocument/2006/relationships" name="Credit Model" sheetId="13" r:id="Re32e0ee8c66149ab"/>
    <x:sheet xmlns:r="http://schemas.openxmlformats.org/officeDocument/2006/relationships" name="Stress Test" sheetId="14" r:id="R1b2ae0532c804913"/>
    <x:sheet xmlns:r="http://schemas.openxmlformats.org/officeDocument/2006/relationships" name="Trade Book" sheetId="15" r:id="R4b1a7214d0984552"/>
    <x:sheet xmlns:r="http://schemas.openxmlformats.org/officeDocument/2006/relationships" name="Research Journal" sheetId="16" r:id="R502bd87e0839417e"/>
    <x:sheet xmlns:r="http://schemas.openxmlformats.org/officeDocument/2006/relationships" name="Methodology" sheetId="17" r:id="R381aedabc05649c7"/>
    <x:sheet xmlns:r="http://schemas.openxmlformats.org/officeDocument/2006/relationships" name="Interview Pack" sheetId="18" r:id="R0003b190c0c74584"/>
    <x:sheet xmlns:r="http://schemas.openxmlformats.org/officeDocument/2006/relationships" name="Beginner Guide" sheetId="19" r:id="R832b2f0d26134ec6"/>
    <x:sheet xmlns:r="http://schemas.openxmlformats.org/officeDocument/2006/relationships" name="Model Audit" sheetId="20" r:id="Recc61db9df664df9"/>
    <x:sheet xmlns:r="http://schemas.openxmlformats.org/officeDocument/2006/relationships" name="Current Snapshot" sheetId="21" r:id="R21718df56abd4475"/>
    <x:sheet xmlns:r="http://schemas.openxmlformats.org/officeDocument/2006/relationships" name="Dashboard" sheetId="22" r:id="Rb9eef7036b134a14"/>
    <x:sheet xmlns:r="http://schemas.openxmlformats.org/officeDocument/2006/relationships" name="Sources" sheetId="23" r:id="Rc32eb07aec57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0.00"/>
    <x:numFmt numFmtId="202" formatCode="0.00;[Red](0.00);-"/>
    <x:numFmt numFmtId="203" formatCode="0.00x"/>
    <x:numFmt numFmtId="204" formatCode="0.00%;[Red](0.00%);-"/>
    <x:numFmt numFmtId="205" formatCode="#,##0"/>
    <x:numFmt numFmtId="206" formatCode="$#,##0;[Red]($#,##0);-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8"/>
      <x:color rgb="FF667085"/>
      <x:name val="Carlito"/>
    </x:font>
    <x:font>
      <x:b/>
      <x:sz val="12"/>
      <x:color rgb="FFFFFFFF"/>
      <x:name val="Carlito"/>
    </x:font>
    <x:font>
      <x:sz val="11"/>
      <x:color rgb="FF008000"/>
      <x:name val="Carlito"/>
    </x:font>
    <x:font>
      <x:b/>
      <x:sz val="11"/>
      <x:color rgb="FF0B1F33"/>
      <x:name val="Carlito"/>
    </x:font>
    <x:font>
      <x:i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a3630b9954dea" /><Relationship Type="http://schemas.openxmlformats.org/officeDocument/2006/relationships/theme" Target="/xl/theme/theme1.xml" Id="R558446e013cf47b0" /><Relationship Type="http://schemas.openxmlformats.org/officeDocument/2006/relationships/sharedStrings" Target="/xl/sharedStrings.xml" Id="Rfff8c976b83a497d" /><Relationship Type="http://schemas.openxmlformats.org/officeDocument/2006/relationships/worksheet" Target="/xl/worksheets/sheet1.xml" Id="Rea6bab20f8d84866" /><Relationship Type="http://schemas.openxmlformats.org/officeDocument/2006/relationships/worksheet" Target="/xl/worksheets/sheet2.xml" Id="R6d5b6f55c961412e" /><Relationship Type="http://schemas.openxmlformats.org/officeDocument/2006/relationships/worksheet" Target="/xl/worksheets/sheet3.xml" Id="R72d8b1b30c664894" /><Relationship Type="http://schemas.openxmlformats.org/officeDocument/2006/relationships/worksheet" Target="/xl/worksheets/sheet4.xml" Id="R28ea5f62ec6645b0" /><Relationship Type="http://schemas.openxmlformats.org/officeDocument/2006/relationships/worksheet" Target="/xl/worksheets/sheet5.xml" Id="R239c3554810d4b97" /><Relationship Type="http://schemas.openxmlformats.org/officeDocument/2006/relationships/worksheet" Target="/xl/worksheets/sheet6.xml" Id="R56828e5528674376" /><Relationship Type="http://schemas.openxmlformats.org/officeDocument/2006/relationships/worksheet" Target="/xl/worksheets/sheet7.xml" Id="R4d21454c97cb4fd0" /><Relationship Type="http://schemas.openxmlformats.org/officeDocument/2006/relationships/worksheet" Target="/xl/worksheets/sheet8.xml" Id="R64adfa7d5bea461f" /><Relationship Type="http://schemas.openxmlformats.org/officeDocument/2006/relationships/worksheet" Target="/xl/worksheets/sheet9.xml" Id="Re890a3fadd5f4426" /><Relationship Type="http://schemas.openxmlformats.org/officeDocument/2006/relationships/worksheet" Target="/xl/worksheets/sheet10.xml" Id="R7fd1535ee14b4f82" /><Relationship Type="http://schemas.openxmlformats.org/officeDocument/2006/relationships/worksheet" Target="/xl/worksheets/sheet11.xml" Id="R970f59640c154273" /><Relationship Type="http://schemas.openxmlformats.org/officeDocument/2006/relationships/worksheet" Target="/xl/worksheets/sheet12.xml" Id="Rba5a61b6b0c84a57" /><Relationship Type="http://schemas.openxmlformats.org/officeDocument/2006/relationships/worksheet" Target="/xl/worksheets/sheet13.xml" Id="Re32e0ee8c66149ab" /><Relationship Type="http://schemas.openxmlformats.org/officeDocument/2006/relationships/worksheet" Target="/xl/worksheets/sheet14.xml" Id="R1b2ae0532c804913" /><Relationship Type="http://schemas.openxmlformats.org/officeDocument/2006/relationships/worksheet" Target="/xl/worksheets/sheet15.xml" Id="R4b1a7214d0984552" /><Relationship Type="http://schemas.openxmlformats.org/officeDocument/2006/relationships/worksheet" Target="/xl/worksheets/sheet16.xml" Id="R502bd87e0839417e" /><Relationship Type="http://schemas.openxmlformats.org/officeDocument/2006/relationships/worksheet" Target="/xl/worksheets/sheet17.xml" Id="R381aedabc05649c7" /><Relationship Type="http://schemas.openxmlformats.org/officeDocument/2006/relationships/worksheet" Target="/xl/worksheets/sheet18.xml" Id="R0003b190c0c74584" /><Relationship Type="http://schemas.openxmlformats.org/officeDocument/2006/relationships/worksheet" Target="/xl/worksheets/sheet19.xml" Id="R832b2f0d26134ec6" /><Relationship Type="http://schemas.openxmlformats.org/officeDocument/2006/relationships/worksheet" Target="/xl/worksheets/sheet20.xml" Id="Recc61db9df664df9" /><Relationship Type="http://schemas.openxmlformats.org/officeDocument/2006/relationships/worksheet" Target="/xl/worksheets/sheet21.xml" Id="R21718df56abd4475" /><Relationship Type="http://schemas.openxmlformats.org/officeDocument/2006/relationships/worksheet" Target="/xl/worksheets/sheet22.xml" Id="Rb9eef7036b134a14" /><Relationship Type="http://schemas.openxmlformats.org/officeDocument/2006/relationships/worksheet" Target="/xl/worksheets/sheet23.xml" Id="Rc32eb07aec574e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0083e4be9245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4c71a38f5ae44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Strategy vs S&amp;P 500</a:t>
            </a:r>
          </a:p>
        </c:rich>
      </c:tx>
    </c:title>
    <c:plotArea>
      <c:lineChart>
        <c:grouping val="standard"/>
        <c:ser>
          <c:idx val="0"/>
          <c:order val="0"/>
          <c:tx>
            <c:v>Strategy</c:v>
          </c:tx>
          <c:marker>
            <c:symbol val="none"/>
          </c:marker>
          <c:cat>
            <c:strRef>
              <c:f>'Backtest'!$A$15:$A$40</c:f>
              <c:strCache>
                <c:ptCount val="0"/>
              </c:strCache>
            </c:strRef>
          </c:cat>
          <c:val>
            <c:numRef>
              <c:f>'Backtest'!$B$15:$B$40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S&amp;P 500</c:v>
          </c:tx>
          <c:marker>
            <c:symbol val="none"/>
          </c:marker>
          <c:cat>
            <c:strRef>
              <c:f>'Backtest'!$A$15:$A$40</c:f>
              <c:strCache>
                <c:ptCount val="0"/>
              </c:strCache>
            </c:strRef>
          </c:cat>
          <c:val>
            <c:numRef>
              <c:f>'Backtest'!$C$15:$C$40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Strategy vs S&amp;P</a:t>
            </a:r>
          </a:p>
        </c:rich>
      </c:tx>
    </c:title>
    <c:plotArea>
      <c:lineChart>
        <c:grouping val="standard"/>
        <c:ser>
          <c:idx val="0"/>
          <c:order val="0"/>
          <c:tx>
            <c:v>Strategy</c:v>
          </c:tx>
          <c:marker>
            <c:symbol val="none"/>
          </c:marker>
          <c:cat>
            <c:strRef>
              <c:f>'Backtest'!$A$15:$A$40</c:f>
              <c:strCache>
                <c:ptCount val="0"/>
              </c:strCache>
            </c:strRef>
          </c:cat>
          <c:val>
            <c:numRef>
              <c:f>'Backtest'!$B$15:$B$40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S&amp;P 500</c:v>
          </c:tx>
          <c:marker>
            <c:symbol val="none"/>
          </c:marker>
          <c:cat>
            <c:strRef>
              <c:f>'Backtest'!$A$15:$A$40</c:f>
              <c:strCache>
                <c:ptCount val="0"/>
              </c:strCache>
            </c:strRef>
          </c:cat>
          <c:val>
            <c:numRef>
              <c:f>'Backtest'!$C$15:$C$40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083e4be9245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c71a38f5ae44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5b51f3814b9461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.xml" Id="R3222b22de4a8449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28" customHeight="1">
      <x:c r="A1" s="98" t="str">
        <x:v>HISTORICAL DATA | 1998–2025 | TOTAL RETURNS + MACRO INPUTS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9" t="str">
        <x:v>Annual data used by the model. Return columns are total returns where available. 1998–1999 provide warm-up observations; back-test sample begins 2000.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16" t="str">
        <x:v>Year</x:v>
      </x:c>
      <x:c r="B4" s="16" t="str">
        <x:v>S&amp;P 500 TR</x:v>
      </x:c>
      <x:c r="C4" s="16" t="str">
        <x:v>US Small Cap TR</x:v>
      </x:c>
      <x:c r="D4" s="16" t="str">
        <x:v>US 10Y T Bond TR</x:v>
      </x:c>
      <x:c r="E4" s="16" t="str">
        <x:v>Baa Corp Bond TR</x:v>
      </x:c>
      <x:c r="F4" s="16" t="str">
        <x:v>US Real Estate TR</x:v>
      </x:c>
      <x:c r="G4" s="16" t="str">
        <x:v>Gold TR</x:v>
      </x:c>
      <x:c r="H4" s="16" t="str">
        <x:v>3M T-Bill TR</x:v>
      </x:c>
      <x:c r="I4" s="16" t="str">
        <x:v>Fed Funds Avg</x:v>
      </x:c>
      <x:c r="J4" s="16" t="str">
        <x:v>Brent Avg ($/bbl)</x:v>
      </x:c>
      <x:c r="K4" s="16" t="str">
        <x:v>Return Source URL</x:v>
      </x:c>
      <x:c r="L4" s="16" t="str">
        <x:v>Fed Source URL</x:v>
      </x:c>
      <x:c r="M4" s="16" t="str">
        <x:v>Brent Source URL</x:v>
      </x:c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2" t="n">
        <x:v>1998</x:v>
      </x:c>
      <x:c r="B5" s="106" t="n">
        <x:v>0.2834</x:v>
      </x:c>
      <x:c r="C5" s="106" t="n">
        <x:v>-0.1347</x:v>
      </x:c>
      <x:c r="D5" s="106" t="n">
        <x:v>0.1492</x:v>
      </x:c>
      <x:c r="E5" s="106" t="n">
        <x:v>0.081</x:v>
      </x:c>
      <x:c r="F5" s="106" t="n">
        <x:v>0.0644</x:v>
      </x:c>
      <x:c r="G5" s="106" t="n">
        <x:v>-0.0083</x:v>
      </x:c>
      <x:c r="H5" s="106" t="n">
        <x:v>0.0491</x:v>
      </x:c>
      <x:c r="I5" s="106" t="n">
        <x:v>0.0535</x:v>
      </x:c>
      <x:c r="J5" s="107" t="n">
        <x:v>12.76</x:v>
      </x:c>
      <x:c r="K5" s="108" t="str">
        <x:v>https://pages.stern.nyu.edu/~adamodar/New_Home_Page/datafile/histretSP.html</x:v>
      </x:c>
      <x:c r="L5" s="108" t="str">
        <x:v>https://fred.stlouisfed.org/series/RIFSPFFNA</x:v>
      </x:c>
      <x:c r="M5" s="108" t="str">
        <x:v>https://fred.stlouisfed.org/series/DCOILBRENTEU</x:v>
      </x:c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2" t="n">
        <x:v>1999</x:v>
      </x:c>
      <x:c r="B6" s="106" t="n">
        <x:v>0.2089</x:v>
      </x:c>
      <x:c r="C6" s="106" t="n">
        <x:v>0.3771</x:v>
      </x:c>
      <x:c r="D6" s="106" t="n">
        <x:v>-0.0825</x:v>
      </x:c>
      <x:c r="E6" s="106" t="n">
        <x:v>0.0097</x:v>
      </x:c>
      <x:c r="F6" s="106" t="n">
        <x:v>0.0768</x:v>
      </x:c>
      <x:c r="G6" s="106" t="n">
        <x:v>0.0085</x:v>
      </x:c>
      <x:c r="H6" s="106" t="n">
        <x:v>0.0478</x:v>
      </x:c>
      <x:c r="I6" s="106" t="n">
        <x:v>0.0497</x:v>
      </x:c>
      <x:c r="J6" s="107" t="n">
        <x:v>17.9</x:v>
      </x:c>
      <x:c r="K6" s="108" t="str">
        <x:v>https://pages.stern.nyu.edu/~adamodar/New_Home_Page/datafile/histretSP.html</x:v>
      </x:c>
      <x:c r="L6" s="108" t="str">
        <x:v>https://fred.stlouisfed.org/series/RIFSPFFNA</x:v>
      </x:c>
      <x:c r="M6" s="108" t="str">
        <x:v>https://fred.stlouisfed.org/series/DCOILBRENTEU</x:v>
      </x:c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2" t="n">
        <x:v>2000</x:v>
      </x:c>
      <x:c r="B7" s="106" t="n">
        <x:v>-0.0903</x:v>
      </x:c>
      <x:c r="C7" s="106" t="n">
        <x:v>-0.0913</x:v>
      </x:c>
      <x:c r="D7" s="106" t="n">
        <x:v>0.1666</x:v>
      </x:c>
      <x:c r="E7" s="106" t="n">
        <x:v>0.0938</x:v>
      </x:c>
      <x:c r="F7" s="106" t="n">
        <x:v>0.0929</x:v>
      </x:c>
      <x:c r="G7" s="106" t="n">
        <x:v>-0.0544</x:v>
      </x:c>
      <x:c r="H7" s="106" t="n">
        <x:v>0.06</x:v>
      </x:c>
      <x:c r="I7" s="106" t="n">
        <x:v>0.0624</x:v>
      </x:c>
      <x:c r="J7" s="107" t="n">
        <x:v>28.66</x:v>
      </x:c>
      <x:c r="K7" s="108" t="str">
        <x:v>https://pages.stern.nyu.edu/~adamodar/New_Home_Page/datafile/histretSP.html</x:v>
      </x:c>
      <x:c r="L7" s="108" t="str">
        <x:v>https://fred.stlouisfed.org/series/RIFSPFFNA</x:v>
      </x:c>
      <x:c r="M7" s="108" t="str">
        <x:v>https://fred.stlouisfed.org/series/DCOILBRENTEU</x:v>
      </x:c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2" t="n">
        <x:v>2001</x:v>
      </x:c>
      <x:c r="B8" s="106" t="n">
        <x:v>-0.1185</x:v>
      </x:c>
      <x:c r="C8" s="106" t="n">
        <x:v>0.3214</x:v>
      </x:c>
      <x:c r="D8" s="106" t="n">
        <x:v>0.0557</x:v>
      </x:c>
      <x:c r="E8" s="106" t="n">
        <x:v>0.086</x:v>
      </x:c>
      <x:c r="F8" s="106" t="n">
        <x:v>0.0668</x:v>
      </x:c>
      <x:c r="G8" s="106" t="n">
        <x:v>0.0075</x:v>
      </x:c>
      <x:c r="H8" s="106" t="n">
        <x:v>0.0348</x:v>
      </x:c>
      <x:c r="I8" s="106" t="n">
        <x:v>0.0388</x:v>
      </x:c>
      <x:c r="J8" s="107" t="n">
        <x:v>24.46</x:v>
      </x:c>
      <x:c r="K8" s="108" t="str">
        <x:v>https://pages.stern.nyu.edu/~adamodar/New_Home_Page/datafile/histretSP.html</x:v>
      </x:c>
      <x:c r="L8" s="108" t="str">
        <x:v>https://fred.stlouisfed.org/series/RIFSPFFNA</x:v>
      </x:c>
      <x:c r="M8" s="108" t="str">
        <x:v>https://fred.stlouisfed.org/series/DCOILBRENTEU</x:v>
      </x:c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2" t="n">
        <x:v>2002</x:v>
      </x:c>
      <x:c r="B9" s="106" t="n">
        <x:v>-0.2197</x:v>
      </x:c>
      <x:c r="C9" s="106" t="n">
        <x:v>-0.0361</x:v>
      </x:c>
      <x:c r="D9" s="106" t="n">
        <x:v>0.1512</x:v>
      </x:c>
      <x:c r="E9" s="106" t="n">
        <x:v>0.1206</x:v>
      </x:c>
      <x:c r="F9" s="106" t="n">
        <x:v>0.0956</x:v>
      </x:c>
      <x:c r="G9" s="106" t="n">
        <x:v>0.2557</x:v>
      </x:c>
      <x:c r="H9" s="106" t="n">
        <x:v>0.0164</x:v>
      </x:c>
      <x:c r="I9" s="106" t="n">
        <x:v>0.0167</x:v>
      </x:c>
      <x:c r="J9" s="107" t="n">
        <x:v>24.99</x:v>
      </x:c>
      <x:c r="K9" s="108" t="str">
        <x:v>https://pages.stern.nyu.edu/~adamodar/New_Home_Page/datafile/histretSP.html</x:v>
      </x:c>
      <x:c r="L9" s="108" t="str">
        <x:v>https://fred.stlouisfed.org/series/RIFSPFFNA</x:v>
      </x:c>
      <x:c r="M9" s="108" t="str">
        <x:v>https://fred.stlouisfed.org/series/DCOILBRENTEU</x:v>
      </x:c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2" t="n">
        <x:v>2003</x:v>
      </x:c>
      <x:c r="B10" s="106" t="n">
        <x:v>0.2836</x:v>
      </x:c>
      <x:c r="C10" s="106" t="n">
        <x:v>0.9123</x:v>
      </x:c>
      <x:c r="D10" s="106" t="n">
        <x:v>0.0038</x:v>
      </x:c>
      <x:c r="E10" s="106" t="n">
        <x:v>0.1238</x:v>
      </x:c>
      <x:c r="F10" s="106" t="n">
        <x:v>0.0981</x:v>
      </x:c>
      <x:c r="G10" s="106" t="n">
        <x:v>0.1989</x:v>
      </x:c>
      <x:c r="H10" s="106" t="n">
        <x:v>0.0103</x:v>
      </x:c>
      <x:c r="I10" s="106" t="n">
        <x:v>0.0113</x:v>
      </x:c>
      <x:c r="J10" s="107" t="n">
        <x:v>28.85</x:v>
      </x:c>
      <x:c r="K10" s="108" t="str">
        <x:v>https://pages.stern.nyu.edu/~adamodar/New_Home_Page/datafile/histretSP.html</x:v>
      </x:c>
      <x:c r="L10" s="108" t="str">
        <x:v>https://fred.stlouisfed.org/series/RIFSPFFNA</x:v>
      </x:c>
      <x:c r="M10" s="108" t="str">
        <x:v>https://fred.stlouisfed.org/series/DCOILBRENTEU</x:v>
      </x:c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2" t="n">
        <x:v>2004</x:v>
      </x:c>
      <x:c r="B11" s="106" t="n">
        <x:v>0.1074</x:v>
      </x:c>
      <x:c r="C11" s="106" t="n">
        <x:v>0.173</x:v>
      </x:c>
      <x:c r="D11" s="106" t="n">
        <x:v>0.0449</x:v>
      </x:c>
      <x:c r="E11" s="106" t="n">
        <x:v>0.1033</x:v>
      </x:c>
      <x:c r="F11" s="106" t="n">
        <x:v>0.1364</x:v>
      </x:c>
      <x:c r="G11" s="106" t="n">
        <x:v>0.0465</x:v>
      </x:c>
      <x:c r="H11" s="106" t="n">
        <x:v>0.014</x:v>
      </x:c>
      <x:c r="I11" s="106" t="n">
        <x:v>0.0135</x:v>
      </x:c>
      <x:c r="J11" s="107" t="n">
        <x:v>38.26</x:v>
      </x:c>
      <x:c r="K11" s="108" t="str">
        <x:v>https://pages.stern.nyu.edu/~adamodar/New_Home_Page/datafile/histretSP.html</x:v>
      </x:c>
      <x:c r="L11" s="108" t="str">
        <x:v>https://fred.stlouisfed.org/series/RIFSPFFNA</x:v>
      </x:c>
      <x:c r="M11" s="108" t="str">
        <x:v>https://fred.stlouisfed.org/series/DCOILBRENTEU</x:v>
      </x:c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2" t="n">
        <x:v>2005</x:v>
      </x:c>
      <x:c r="B12" s="106" t="n">
        <x:v>0.0483</x:v>
      </x:c>
      <x:c r="C12" s="106" t="n">
        <x:v>0.0378</x:v>
      </x:c>
      <x:c r="D12" s="106" t="n">
        <x:v>0.0287</x:v>
      </x:c>
      <x:c r="E12" s="106" t="n">
        <x:v>0.0513</x:v>
      </x:c>
      <x:c r="F12" s="106" t="n">
        <x:v>0.1351</x:v>
      </x:c>
      <x:c r="G12" s="106" t="n">
        <x:v>0.1777</x:v>
      </x:c>
      <x:c r="H12" s="106" t="n">
        <x:v>0.0322</x:v>
      </x:c>
      <x:c r="I12" s="106" t="n">
        <x:v>0.0322</x:v>
      </x:c>
      <x:c r="J12" s="107" t="n">
        <x:v>54.57</x:v>
      </x:c>
      <x:c r="K12" s="108" t="str">
        <x:v>https://pages.stern.nyu.edu/~adamodar/New_Home_Page/datafile/histretSP.html</x:v>
      </x:c>
      <x:c r="L12" s="108" t="str">
        <x:v>https://fred.stlouisfed.org/series/RIFSPFFNA</x:v>
      </x:c>
      <x:c r="M12" s="108" t="str">
        <x:v>https://fred.stlouisfed.org/series/DCOILBRENTEU</x:v>
      </x:c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 t="n">
        <x:v>2006</x:v>
      </x:c>
      <x:c r="B13" s="106" t="n">
        <x:v>0.1561</x:v>
      </x:c>
      <x:c r="C13" s="106" t="n">
        <x:v>0.184</x:v>
      </x:c>
      <x:c r="D13" s="106" t="n">
        <x:v>0.0196</x:v>
      </x:c>
      <x:c r="E13" s="106" t="n">
        <x:v>0.0527</x:v>
      </x:c>
      <x:c r="F13" s="106" t="n">
        <x:v>0.0173</x:v>
      </x:c>
      <x:c r="G13" s="106" t="n">
        <x:v>0.232</x:v>
      </x:c>
      <x:c r="H13" s="106" t="n">
        <x:v>0.0485</x:v>
      </x:c>
      <x:c r="I13" s="106" t="n">
        <x:v>0.0497</x:v>
      </x:c>
      <x:c r="J13" s="107" t="n">
        <x:v>65.16</x:v>
      </x:c>
      <x:c r="K13" s="108" t="str">
        <x:v>https://pages.stern.nyu.edu/~adamodar/New_Home_Page/datafile/histretSP.html</x:v>
      </x:c>
      <x:c r="L13" s="108" t="str">
        <x:v>https://fred.stlouisfed.org/series/RIFSPFFNA</x:v>
      </x:c>
      <x:c r="M13" s="108" t="str">
        <x:v>https://fred.stlouisfed.org/series/DCOILBRENTEU</x:v>
      </x:c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 t="n">
        <x:v>2007</x:v>
      </x:c>
      <x:c r="B14" s="106" t="n">
        <x:v>0.0548</x:v>
      </x:c>
      <x:c r="C14" s="106" t="n">
        <x:v>-0.0911</x:v>
      </x:c>
      <x:c r="D14" s="106" t="n">
        <x:v>0.1021</x:v>
      </x:c>
      <x:c r="E14" s="106" t="n">
        <x:v>0.049</x:v>
      </x:c>
      <x:c r="F14" s="106" t="n">
        <x:v>-0.054</x:v>
      </x:c>
      <x:c r="G14" s="106" t="n">
        <x:v>0.3192</x:v>
      </x:c>
      <x:c r="H14" s="106" t="n">
        <x:v>0.0448</x:v>
      </x:c>
      <x:c r="I14" s="106" t="n">
        <x:v>0.0502</x:v>
      </x:c>
      <x:c r="J14" s="107" t="n">
        <x:v>72.44</x:v>
      </x:c>
      <x:c r="K14" s="108" t="str">
        <x:v>https://pages.stern.nyu.edu/~adamodar/New_Home_Page/datafile/histretSP.html</x:v>
      </x:c>
      <x:c r="L14" s="108" t="str">
        <x:v>https://fred.stlouisfed.org/series/RIFSPFFNA</x:v>
      </x:c>
      <x:c r="M14" s="108" t="str">
        <x:v>https://fred.stlouisfed.org/series/DCOILBRENTEU</x:v>
      </x:c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 t="n">
        <x:v>2008</x:v>
      </x:c>
      <x:c r="B15" s="106" t="n">
        <x:v>-0.3655</x:v>
      </x:c>
      <x:c r="C15" s="106" t="n">
        <x:v>-0.4468</x:v>
      </x:c>
      <x:c r="D15" s="106" t="n">
        <x:v>0.201</x:v>
      </x:c>
      <x:c r="E15" s="106" t="n">
        <x:v>-0.0344</x:v>
      </x:c>
      <x:c r="F15" s="106" t="n">
        <x:v>-0.12</x:v>
      </x:c>
      <x:c r="G15" s="106" t="n">
        <x:v>0.0432</x:v>
      </x:c>
      <x:c r="H15" s="106" t="n">
        <x:v>0.014</x:v>
      </x:c>
      <x:c r="I15" s="106" t="n">
        <x:v>0.0192</x:v>
      </x:c>
      <x:c r="J15" s="107" t="n">
        <x:v>96.94</x:v>
      </x:c>
      <x:c r="K15" s="108" t="str">
        <x:v>https://pages.stern.nyu.edu/~adamodar/New_Home_Page/datafile/histretSP.html</x:v>
      </x:c>
      <x:c r="L15" s="108" t="str">
        <x:v>https://fred.stlouisfed.org/series/RIFSPFFNA</x:v>
      </x:c>
      <x:c r="M15" s="108" t="str">
        <x:v>https://fred.stlouisfed.org/series/DCOILBRENTEU</x:v>
      </x:c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 t="n">
        <x:v>2009</x:v>
      </x:c>
      <x:c r="B16" s="106" t="n">
        <x:v>0.2594</x:v>
      </x:c>
      <x:c r="C16" s="106" t="n">
        <x:v>0.4694</x:v>
      </x:c>
      <x:c r="D16" s="106" t="n">
        <x:v>-0.1112</x:v>
      </x:c>
      <x:c r="E16" s="106" t="n">
        <x:v>0.1996</x:v>
      </x:c>
      <x:c r="F16" s="106" t="n">
        <x:v>-0.0385</x:v>
      </x:c>
      <x:c r="G16" s="106" t="n">
        <x:v>0.2504</x:v>
      </x:c>
      <x:c r="H16" s="106" t="n">
        <x:v>0.0015</x:v>
      </x:c>
      <x:c r="I16" s="106" t="n">
        <x:v>0.0016</x:v>
      </x:c>
      <x:c r="J16" s="107" t="n">
        <x:v>61.74</x:v>
      </x:c>
      <x:c r="K16" s="108" t="str">
        <x:v>https://pages.stern.nyu.edu/~adamodar/New_Home_Page/datafile/histretSP.html</x:v>
      </x:c>
      <x:c r="L16" s="108" t="str">
        <x:v>https://fred.stlouisfed.org/series/RIFSPFFNA</x:v>
      </x:c>
      <x:c r="M16" s="108" t="str">
        <x:v>https://fred.stlouisfed.org/series/DCOILBRENTEU</x:v>
      </x:c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 t="n">
        <x:v>2010</x:v>
      </x:c>
      <x:c r="B17" s="106" t="n">
        <x:v>0.1482</x:v>
      </x:c>
      <x:c r="C17" s="106" t="n">
        <x:v>0.2773</x:v>
      </x:c>
      <x:c r="D17" s="106" t="n">
        <x:v>0.0846</x:v>
      </x:c>
      <x:c r="E17" s="106" t="n">
        <x:v>0.094</x:v>
      </x:c>
      <x:c r="F17" s="106" t="n">
        <x:v>-0.0412</x:v>
      </x:c>
      <x:c r="G17" s="106" t="n">
        <x:v>0.2924</x:v>
      </x:c>
      <x:c r="H17" s="106" t="n">
        <x:v>0.0014</x:v>
      </x:c>
      <x:c r="I17" s="106" t="n">
        <x:v>0.0018</x:v>
      </x:c>
      <x:c r="J17" s="107" t="n">
        <x:v>79.61</x:v>
      </x:c>
      <x:c r="K17" s="108" t="str">
        <x:v>https://pages.stern.nyu.edu/~adamodar/New_Home_Page/datafile/histretSP.html</x:v>
      </x:c>
      <x:c r="L17" s="108" t="str">
        <x:v>https://fred.stlouisfed.org/series/RIFSPFFNA</x:v>
      </x:c>
      <x:c r="M17" s="108" t="str">
        <x:v>https://fred.stlouisfed.org/series/DCOILBRENTEU</x:v>
      </x:c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 t="n">
        <x:v>2011</x:v>
      </x:c>
      <x:c r="B18" s="106" t="n">
        <x:v>0.021</x:v>
      </x:c>
      <x:c r="C18" s="106" t="n">
        <x:v>-0.1404</x:v>
      </x:c>
      <x:c r="D18" s="106" t="n">
        <x:v>0.1604</x:v>
      </x:c>
      <x:c r="E18" s="106" t="n">
        <x:v>0.1226</x:v>
      </x:c>
      <x:c r="F18" s="106" t="n">
        <x:v>-0.0389</x:v>
      </x:c>
      <x:c r="G18" s="106" t="n">
        <x:v>0.1202</x:v>
      </x:c>
      <x:c r="H18" s="106" t="n">
        <x:v>0.0005</x:v>
      </x:c>
      <x:c r="I18" s="106" t="n">
        <x:v>0.001</x:v>
      </x:c>
      <x:c r="J18" s="107" t="n">
        <x:v>111.26</x:v>
      </x:c>
      <x:c r="K18" s="108" t="str">
        <x:v>https://pages.stern.nyu.edu/~adamodar/New_Home_Page/datafile/histretSP.html</x:v>
      </x:c>
      <x:c r="L18" s="108" t="str">
        <x:v>https://fred.stlouisfed.org/series/RIFSPFFNA</x:v>
      </x:c>
      <x:c r="M18" s="108" t="str">
        <x:v>https://fred.stlouisfed.org/series/DCOILBRENTEU</x:v>
      </x:c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 t="n">
        <x:v>2012</x:v>
      </x:c>
      <x:c r="B19" s="106" t="n">
        <x:v>0.1589</x:v>
      </x:c>
      <x:c r="C19" s="106" t="n">
        <x:v>0.1896</x:v>
      </x:c>
      <x:c r="D19" s="106" t="n">
        <x:v>0.0297</x:v>
      </x:c>
      <x:c r="E19" s="106" t="n">
        <x:v>0.094</x:v>
      </x:c>
      <x:c r="F19" s="106" t="n">
        <x:v>0.0644</x:v>
      </x:c>
      <x:c r="G19" s="106" t="n">
        <x:v>0.0568</x:v>
      </x:c>
      <x:c r="H19" s="106" t="n">
        <x:v>0.0009</x:v>
      </x:c>
      <x:c r="I19" s="106" t="n">
        <x:v>0.0014</x:v>
      </x:c>
      <x:c r="J19" s="107" t="n">
        <x:v>111.63</x:v>
      </x:c>
      <x:c r="K19" s="108" t="str">
        <x:v>https://pages.stern.nyu.edu/~adamodar/New_Home_Page/datafile/histretSP.html</x:v>
      </x:c>
      <x:c r="L19" s="108" t="str">
        <x:v>https://fred.stlouisfed.org/series/RIFSPFFNA</x:v>
      </x:c>
      <x:c r="M19" s="108" t="str">
        <x:v>https://fred.stlouisfed.org/series/DCOILBRENTEU</x:v>
      </x:c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 t="n">
        <x:v>2013</x:v>
      </x:c>
      <x:c r="B20" s="106" t="n">
        <x:v>0.3215</x:v>
      </x:c>
      <x:c r="C20" s="106" t="n">
        <x:v>0.503</x:v>
      </x:c>
      <x:c r="D20" s="106" t="n">
        <x:v>-0.091</x:v>
      </x:c>
      <x:c r="E20" s="106" t="n">
        <x:v>-0.0113</x:v>
      </x:c>
      <x:c r="F20" s="106" t="n">
        <x:v>0.1072</x:v>
      </x:c>
      <x:c r="G20" s="106" t="n">
        <x:v>-0.2761</x:v>
      </x:c>
      <x:c r="H20" s="106" t="n">
        <x:v>0.0006</x:v>
      </x:c>
      <x:c r="I20" s="106" t="n">
        <x:v>0.0011</x:v>
      </x:c>
      <x:c r="J20" s="107" t="n">
        <x:v>108.56</x:v>
      </x:c>
      <x:c r="K20" s="108" t="str">
        <x:v>https://pages.stern.nyu.edu/~adamodar/New_Home_Page/datafile/histretSP.html</x:v>
      </x:c>
      <x:c r="L20" s="108" t="str">
        <x:v>https://fred.stlouisfed.org/series/RIFSPFFNA</x:v>
      </x:c>
      <x:c r="M20" s="108" t="str">
        <x:v>https://fred.stlouisfed.org/series/DCOILBRENTEU</x:v>
      </x:c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 t="n">
        <x:v>2014</x:v>
      </x:c>
      <x:c r="B21" s="106" t="n">
        <x:v>0.1352</x:v>
      </x:c>
      <x:c r="C21" s="106" t="n">
        <x:v>0.0153</x:v>
      </x:c>
      <x:c r="D21" s="106" t="n">
        <x:v>0.1075</x:v>
      </x:c>
      <x:c r="E21" s="106" t="n">
        <x:v>0.1075</x:v>
      </x:c>
      <x:c r="F21" s="106" t="n">
        <x:v>0.045</x:v>
      </x:c>
      <x:c r="G21" s="106" t="n">
        <x:v>0.0012</x:v>
      </x:c>
      <x:c r="H21" s="106" t="n">
        <x:v>0.0003</x:v>
      </x:c>
      <x:c r="I21" s="106" t="n">
        <x:v>0.0009</x:v>
      </x:c>
      <x:c r="J21" s="107" t="n">
        <x:v>98.97</x:v>
      </x:c>
      <x:c r="K21" s="108" t="str">
        <x:v>https://pages.stern.nyu.edu/~adamodar/New_Home_Page/datafile/histretSP.html</x:v>
      </x:c>
      <x:c r="L21" s="108" t="str">
        <x:v>https://fred.stlouisfed.org/series/RIFSPFFNA</x:v>
      </x:c>
      <x:c r="M21" s="108" t="str">
        <x:v>https://fred.stlouisfed.org/series/DCOILBRENTEU</x:v>
      </x:c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 t="n">
        <x:v>2015</x:v>
      </x:c>
      <x:c r="B22" s="106" t="n">
        <x:v>0.0138</x:v>
      </x:c>
      <x:c r="C22" s="106" t="n">
        <x:v>-0.0912</x:v>
      </x:c>
      <x:c r="D22" s="106" t="n">
        <x:v>0.0128</x:v>
      </x:c>
      <x:c r="E22" s="106" t="n">
        <x:v>-0.015</x:v>
      </x:c>
      <x:c r="F22" s="106" t="n">
        <x:v>0.0519</x:v>
      </x:c>
      <x:c r="G22" s="106" t="n">
        <x:v>-0.1211</x:v>
      </x:c>
      <x:c r="H22" s="106" t="n">
        <x:v>0.0005</x:v>
      </x:c>
      <x:c r="I22" s="106" t="n">
        <x:v>0.0013</x:v>
      </x:c>
      <x:c r="J22" s="107" t="n">
        <x:v>52.32</x:v>
      </x:c>
      <x:c r="K22" s="108" t="str">
        <x:v>https://pages.stern.nyu.edu/~adamodar/New_Home_Page/datafile/histretSP.html</x:v>
      </x:c>
      <x:c r="L22" s="108" t="str">
        <x:v>https://fred.stlouisfed.org/series/RIFSPFFNA</x:v>
      </x:c>
      <x:c r="M22" s="108" t="str">
        <x:v>https://fred.stlouisfed.org/series/DCOILBRENTEU</x:v>
      </x:c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 t="n">
        <x:v>2016</x:v>
      </x:c>
      <x:c r="B23" s="106" t="n">
        <x:v>0.1177</x:v>
      </x:c>
      <x:c r="C23" s="106" t="n">
        <x:v>0.1702</x:v>
      </x:c>
      <x:c r="D23" s="106" t="n">
        <x:v>0.0069</x:v>
      </x:c>
      <x:c r="E23" s="106" t="n">
        <x:v>0.1152</x:v>
      </x:c>
      <x:c r="F23" s="106" t="n">
        <x:v>0.0531</x:v>
      </x:c>
      <x:c r="G23" s="106" t="n">
        <x:v>0.081</x:v>
      </x:c>
      <x:c r="H23" s="106" t="n">
        <x:v>0.0032</x:v>
      </x:c>
      <x:c r="I23" s="106" t="n">
        <x:v>0.0039</x:v>
      </x:c>
      <x:c r="J23" s="107" t="n">
        <x:v>43.64</x:v>
      </x:c>
      <x:c r="K23" s="108" t="str">
        <x:v>https://pages.stern.nyu.edu/~adamodar/New_Home_Page/datafile/histretSP.html</x:v>
      </x:c>
      <x:c r="L23" s="108" t="str">
        <x:v>https://fred.stlouisfed.org/series/RIFSPFFNA</x:v>
      </x:c>
      <x:c r="M23" s="108" t="str">
        <x:v>https://fred.stlouisfed.org/series/DCOILBRENTEU</x:v>
      </x:c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 t="n">
        <x:v>2017</x:v>
      </x:c>
      <x:c r="B24" s="106" t="n">
        <x:v>0.2161</x:v>
      </x:c>
      <x:c r="C24" s="106" t="n">
        <x:v>0.1513</x:v>
      </x:c>
      <x:c r="D24" s="106" t="n">
        <x:v>0.028</x:v>
      </x:c>
      <x:c r="E24" s="106" t="n">
        <x:v>0.0915</x:v>
      </x:c>
      <x:c r="F24" s="106" t="n">
        <x:v>0.0621</x:v>
      </x:c>
      <x:c r="G24" s="106" t="n">
        <x:v>0.1266</x:v>
      </x:c>
      <x:c r="H24" s="106" t="n">
        <x:v>0.0095</x:v>
      </x:c>
      <x:c r="I24" s="106" t="n">
        <x:v>0.01</x:v>
      </x:c>
      <x:c r="J24" s="107" t="n">
        <x:v>54.13</x:v>
      </x:c>
      <x:c r="K24" s="108" t="str">
        <x:v>https://pages.stern.nyu.edu/~adamodar/New_Home_Page/datafile/histretSP.html</x:v>
      </x:c>
      <x:c r="L24" s="108" t="str">
        <x:v>https://fred.stlouisfed.org/series/RIFSPFFNA</x:v>
      </x:c>
      <x:c r="M24" s="108" t="str">
        <x:v>https://fred.stlouisfed.org/series/DCOILBRENTEU</x:v>
      </x:c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 t="n">
        <x:v>2018</x:v>
      </x:c>
      <x:c r="B25" s="106" t="n">
        <x:v>-0.0423</x:v>
      </x:c>
      <x:c r="C25" s="106" t="n">
        <x:v>-0.1621</x:v>
      </x:c>
      <x:c r="D25" s="106" t="n">
        <x:v>-0.0002</x:v>
      </x:c>
      <x:c r="E25" s="106" t="n">
        <x:v>-0.0318</x:v>
      </x:c>
      <x:c r="F25" s="106" t="n">
        <x:v>0.0452</x:v>
      </x:c>
      <x:c r="G25" s="106" t="n">
        <x:v>-0.0093</x:v>
      </x:c>
      <x:c r="H25" s="106" t="n">
        <x:v>0.0197</x:v>
      </x:c>
      <x:c r="I25" s="106" t="n">
        <x:v>0.0183</x:v>
      </x:c>
      <x:c r="J25" s="107" t="n">
        <x:v>71.34</x:v>
      </x:c>
      <x:c r="K25" s="108" t="str">
        <x:v>https://pages.stern.nyu.edu/~adamodar/New_Home_Page/datafile/histretSP.html</x:v>
      </x:c>
      <x:c r="L25" s="108" t="str">
        <x:v>https://fred.stlouisfed.org/series/RIFSPFFNA</x:v>
      </x:c>
      <x:c r="M25" s="108" t="str">
        <x:v>https://fred.stlouisfed.org/series/DCOILBRENTEU</x:v>
      </x:c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 t="n">
        <x:v>2019</x:v>
      </x:c>
      <x:c r="B26" s="106" t="n">
        <x:v>0.3121</x:v>
      </x:c>
      <x:c r="C26" s="106" t="n">
        <x:v>0.1192</x:v>
      </x:c>
      <x:c r="D26" s="106" t="n">
        <x:v>0.0964</x:v>
      </x:c>
      <x:c r="E26" s="106" t="n">
        <x:v>0.1525</x:v>
      </x:c>
      <x:c r="F26" s="106" t="n">
        <x:v>0.0369</x:v>
      </x:c>
      <x:c r="G26" s="106" t="n">
        <x:v>0.1908</x:v>
      </x:c>
      <x:c r="H26" s="106" t="n">
        <x:v>0.0211</x:v>
      </x:c>
      <x:c r="I26" s="106" t="n">
        <x:v>0.0216</x:v>
      </x:c>
      <x:c r="J26" s="107" t="n">
        <x:v>64.3</x:v>
      </x:c>
      <x:c r="K26" s="108" t="str">
        <x:v>https://pages.stern.nyu.edu/~adamodar/New_Home_Page/datafile/histretSP.html</x:v>
      </x:c>
      <x:c r="L26" s="108" t="str">
        <x:v>https://fred.stlouisfed.org/series/RIFSPFFNA</x:v>
      </x:c>
      <x:c r="M26" s="108" t="str">
        <x:v>https://fred.stlouisfed.org/series/DCOILBRENTEU</x:v>
      </x:c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 t="n">
        <x:v>2020</x:v>
      </x:c>
      <x:c r="B27" s="106" t="n">
        <x:v>0.1802</x:v>
      </x:c>
      <x:c r="C27" s="106" t="n">
        <x:v>0.3416</x:v>
      </x:c>
      <x:c r="D27" s="106" t="n">
        <x:v>0.1133</x:v>
      </x:c>
      <x:c r="E27" s="106" t="n">
        <x:v>0.106</x:v>
      </x:c>
      <x:c r="F27" s="106" t="n">
        <x:v>0.1043</x:v>
      </x:c>
      <x:c r="G27" s="106" t="n">
        <x:v>0.2417</x:v>
      </x:c>
      <x:c r="H27" s="106" t="n">
        <x:v>0.0036</x:v>
      </x:c>
      <x:c r="I27" s="106" t="n">
        <x:v>0.0037</x:v>
      </x:c>
      <x:c r="J27" s="107" t="n">
        <x:v>41.96</x:v>
      </x:c>
      <x:c r="K27" s="108" t="str">
        <x:v>https://pages.stern.nyu.edu/~adamodar/New_Home_Page/datafile/histretSP.html</x:v>
      </x:c>
      <x:c r="L27" s="108" t="str">
        <x:v>https://fred.stlouisfed.org/series/RIFSPFFNA</x:v>
      </x:c>
      <x:c r="M27" s="108" t="str">
        <x:v>https://fred.stlouisfed.org/series/DCOILBRENTEU</x:v>
      </x:c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 t="n">
        <x:v>2021</x:v>
      </x:c>
      <x:c r="B28" s="106" t="n">
        <x:v>0.2847</x:v>
      </x:c>
      <x:c r="C28" s="106" t="n">
        <x:v>0.2241</x:v>
      </x:c>
      <x:c r="D28" s="106" t="n">
        <x:v>-0.0442</x:v>
      </x:c>
      <x:c r="E28" s="106" t="n">
        <x:v>0.0102</x:v>
      </x:c>
      <x:c r="F28" s="106" t="n">
        <x:v>0.1886</x:v>
      </x:c>
      <x:c r="G28" s="106" t="n">
        <x:v>-0.0375</x:v>
      </x:c>
      <x:c r="H28" s="106" t="n">
        <x:v>0.0004</x:v>
      </x:c>
      <x:c r="I28" s="106" t="n">
        <x:v>0.0008</x:v>
      </x:c>
      <x:c r="J28" s="107" t="n">
        <x:v>70.86</x:v>
      </x:c>
      <x:c r="K28" s="108" t="str">
        <x:v>https://pages.stern.nyu.edu/~adamodar/New_Home_Page/datafile/histretSP.html</x:v>
      </x:c>
      <x:c r="L28" s="108" t="str">
        <x:v>https://fred.stlouisfed.org/series/RIFSPFFNA</x:v>
      </x:c>
      <x:c r="M28" s="108" t="str">
        <x:v>https://fred.stlouisfed.org/series/DCOILBRENTEU</x:v>
      </x:c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 t="n">
        <x:v>2022</x:v>
      </x:c>
      <x:c r="B29" s="106" t="n">
        <x:v>-0.1804</x:v>
      </x:c>
      <x:c r="C29" s="106" t="n">
        <x:v>-0.229</x:v>
      </x:c>
      <x:c r="D29" s="106" t="n">
        <x:v>-0.1783</x:v>
      </x:c>
      <x:c r="E29" s="106" t="n">
        <x:v>-0.1523</x:v>
      </x:c>
      <x:c r="F29" s="106" t="n">
        <x:v>0.0565</x:v>
      </x:c>
      <x:c r="G29" s="106" t="n">
        <x:v>0.0055</x:v>
      </x:c>
      <x:c r="H29" s="106" t="n">
        <x:v>0.0209</x:v>
      </x:c>
      <x:c r="I29" s="106" t="n">
        <x:v>0.0169</x:v>
      </x:c>
      <x:c r="J29" s="107" t="n">
        <x:v>100.93</x:v>
      </x:c>
      <x:c r="K29" s="108" t="str">
        <x:v>https://pages.stern.nyu.edu/~adamodar/New_Home_Page/datafile/histretSP.html</x:v>
      </x:c>
      <x:c r="L29" s="108" t="str">
        <x:v>https://fred.stlouisfed.org/series/RIFSPFFNA</x:v>
      </x:c>
      <x:c r="M29" s="108" t="str">
        <x:v>https://fred.stlouisfed.org/series/DCOILBRENTEU</x:v>
      </x:c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 t="n">
        <x:v>2023</x:v>
      </x:c>
      <x:c r="B30" s="106" t="n">
        <x:v>0.2606</x:v>
      </x:c>
      <x:c r="C30" s="106" t="n">
        <x:v>0.0519</x:v>
      </x:c>
      <x:c r="D30" s="106" t="n">
        <x:v>0.0388</x:v>
      </x:c>
      <x:c r="E30" s="106" t="n">
        <x:v>0.0874</x:v>
      </x:c>
      <x:c r="F30" s="106" t="n">
        <x:v>0.0568</x:v>
      </x:c>
      <x:c r="G30" s="106" t="n">
        <x:v>0.1326</x:v>
      </x:c>
      <x:c r="H30" s="106" t="n">
        <x:v>0.0528</x:v>
      </x:c>
      <x:c r="I30" s="106" t="n">
        <x:v>0.0503</x:v>
      </x:c>
      <x:c r="J30" s="107" t="n">
        <x:v>82.49</x:v>
      </x:c>
      <x:c r="K30" s="108" t="str">
        <x:v>https://pages.stern.nyu.edu/~adamodar/New_Home_Page/datafile/histretSP.html</x:v>
      </x:c>
      <x:c r="L30" s="108" t="str">
        <x:v>https://fred.stlouisfed.org/series/RIFSPFFNA</x:v>
      </x:c>
      <x:c r="M30" s="108" t="str">
        <x:v>https://fred.stlouisfed.org/series/DCOILBRENTEU</x:v>
      </x:c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 t="n">
        <x:v>2024</x:v>
      </x:c>
      <x:c r="B31" s="106" t="n">
        <x:v>0.2488</x:v>
      </x:c>
      <x:c r="C31" s="106" t="n">
        <x:v>0.087</x:v>
      </x:c>
      <x:c r="D31" s="106" t="n">
        <x:v>-0.0164</x:v>
      </x:c>
      <x:c r="E31" s="106" t="n">
        <x:v>0.0174</x:v>
      </x:c>
      <x:c r="F31" s="106" t="n">
        <x:v>0.0396</x:v>
      </x:c>
      <x:c r="G31" s="106" t="n">
        <x:v>0.2596</x:v>
      </x:c>
      <x:c r="H31" s="106" t="n">
        <x:v>0.0518</x:v>
      </x:c>
      <x:c r="I31" s="106" t="n">
        <x:v>0.0514</x:v>
      </x:c>
      <x:c r="J31" s="107" t="n">
        <x:v>80.52</x:v>
      </x:c>
      <x:c r="K31" s="108" t="str">
        <x:v>https://pages.stern.nyu.edu/~adamodar/New_Home_Page/datafile/histretSP.html</x:v>
      </x:c>
      <x:c r="L31" s="108" t="str">
        <x:v>https://fred.stlouisfed.org/series/RIFSPFFNA</x:v>
      </x:c>
      <x:c r="M31" s="108" t="str">
        <x:v>https://fred.stlouisfed.org/series/DCOILBRENTEU</x:v>
      </x:c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 t="n">
        <x:v>2025</x:v>
      </x:c>
      <x:c r="B32" s="106" t="n">
        <x:v>0.1778</x:v>
      </x:c>
      <x:c r="C32" s="106" t="n">
        <x:v>0.1653</x:v>
      </x:c>
      <x:c r="D32" s="106" t="n">
        <x:v>0.078</x:v>
      </x:c>
      <x:c r="E32" s="106" t="n">
        <x:v>0.0696</x:v>
      </x:c>
      <x:c r="F32" s="106" t="n">
        <x:v>0.0158</x:v>
      </x:c>
      <x:c r="G32" s="106" t="n">
        <x:v>0.6622</x:v>
      </x:c>
      <x:c r="H32" s="106" t="n">
        <x:v>0.0421</x:v>
      </x:c>
      <x:c r="I32" s="106" t="n">
        <x:v>0.0421</x:v>
      </x:c>
      <x:c r="J32" s="107" t="n">
        <x:v>69.14</x:v>
      </x:c>
      <x:c r="K32" s="108" t="str">
        <x:v>https://pages.stern.nyu.edu/~adamodar/New_Home_Page/datafile/histretSP.html</x:v>
      </x:c>
      <x:c r="L32" s="108" t="str">
        <x:v>https://fred.stlouisfed.org/series/RIFSPFFNA</x:v>
      </x:c>
      <x:c r="M32" s="108" t="str">
        <x:v>https://fred.stlouisfed.org/series/DCOILBRENTEU</x:v>
      </x:c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 ht="22" customHeight="1">
      <x:c r="A34" s="99" t="str">
        <x:v>SOURCE &amp; DEFINITIONS</x:v>
      </x:c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 t="str">
        <x:v>S&amp;P 500 / Small Cap / Bonds / RE / Gold / T-bills</x:v>
      </x:c>
      <x:c r="B35" s="32" t="str">
        <x:v>Damodaran historical returns page (updated Jan 2026)</x:v>
      </x:c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 t="str">
        <x:v>Fed Funds</x:v>
      </x:c>
      <x:c r="B36" s="32" t="str">
        <x:v>FRED annual Federal Funds effective rate</x:v>
      </x:c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 t="str">
        <x:v>Brent</x:v>
      </x:c>
      <x:c r="B37" s="32" t="str">
        <x:v>FRED/EIA Brent spot annual average</x:v>
      </x:c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 t="str">
        <x:v>Important</x:v>
      </x:c>
      <x:c r="B38" s="32" t="str">
        <x:v>Historical market series are used as annual total-return proxies. They are not a live trading feed.</x:v>
      </x:c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 t="str">
        <x:v>Back-test</x:v>
      </x:c>
      <x:c r="B39" s="32" t="str">
        <x:v>2000–2025; 1998–1999 used only for signal warm-up.</x:v>
      </x:c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 t="str">
        <x:v>Method</x:v>
      </x:c>
      <x:c r="B40" s="32" t="str">
        <x:v>Model uses only information available before each back-test year; no look-ahead in the regime engine.</x:v>
      </x:c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M1"/>
    <x:mergeCell ref="A2:M2"/>
    <x:mergeCell ref="A34:M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9" hidden="0" customWidth="1"/>
    <x:col min="5" max="5" width="12" hidden="0" customWidth="1"/>
    <x:col min="6" max="6" width="12" hidden="0" customWidth="1"/>
    <x:col min="7" max="7" width="10" hidden="0" customWidth="1"/>
    <x:col min="8" max="8" width="12" hidden="0" customWidth="1"/>
    <x:col min="9" max="9" width="11" hidden="0" customWidth="1"/>
    <x:col min="10" max="10" width="14" hidden="0" customWidth="1"/>
    <x:col min="11" max="11" width="10" hidden="0" customWidth="1"/>
    <x:col min="12" max="12" width="8" hidden="0" customWidth="1"/>
    <x:col min="13" max="13" width="12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44" hidden="0" customWidth="1"/>
  </x:cols>
  <x:sheetData>
    <x:row r="1" ht="28" customHeight="1">
      <x:c r="A1" s="98" t="str">
        <x:v>MACRO REGIME ENGINE | 4 SIGNALS → 4 REGIMES → 7-SLEEVE PORTFOLIO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98"/>
      <x:c r="U1" s="98"/>
      <x:c r="V1" s="98"/>
      <x:c r="W1" s="98"/>
      <x:c r="X1" s="98"/>
      <x:c r="Y1" s="98"/>
      <x:c r="Z1" s="98"/>
      <x:c r="AA1" s="4"/>
      <x:c r="AB1" s="4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16" t="str">
        <x:v>Year</x:v>
      </x:c>
      <x:c r="B3" s="16" t="str">
        <x:v>Fed t-1</x:v>
      </x:c>
      <x:c r="C3" s="16" t="str">
        <x:v>Fed t-2</x:v>
      </x:c>
      <x:c r="D3" s="16" t="str">
        <x:v>Rate Sig</x:v>
      </x:c>
      <x:c r="E3" s="16" t="str">
        <x:v>Brent t-1</x:v>
      </x:c>
      <x:c r="F3" s="16" t="str">
        <x:v>Brent t-2</x:v>
      </x:c>
      <x:c r="G3" s="16" t="str">
        <x:v>Energy Sig</x:v>
      </x:c>
      <x:c r="H3" s="16" t="str">
        <x:v>S&amp;P t-1 TR</x:v>
      </x:c>
      <x:c r="I3" s="16" t="str">
        <x:v>Momentum Sig</x:v>
      </x:c>
      <x:c r="J3" s="16" t="str">
        <x:v>Baa-TBond t-1</x:v>
      </x:c>
      <x:c r="K3" s="16" t="str">
        <x:v>Credit Sig</x:v>
      </x:c>
      <x:c r="L3" s="16" t="str">
        <x:v>Score</x:v>
      </x:c>
      <x:c r="M3" s="16" t="str">
        <x:v>Regime</x:v>
      </x:c>
      <x:c r="N3" s="16" t="str">
        <x:v>S&amp;P Wt</x:v>
      </x:c>
      <x:c r="O3" s="16" t="str">
        <x:v>Small Cap Wt</x:v>
      </x:c>
      <x:c r="P3" s="16" t="str">
        <x:v>10Y Wt</x:v>
      </x:c>
      <x:c r="Q3" s="16" t="str">
        <x:v>Baa Wt</x:v>
      </x:c>
      <x:c r="R3" s="16" t="str">
        <x:v>RE Wt</x:v>
      </x:c>
      <x:c r="S3" s="16" t="str">
        <x:v>Gold Wt</x:v>
      </x:c>
      <x:c r="T3" s="16" t="str">
        <x:v>Cash Wt</x:v>
      </x:c>
      <x:c r="U3" s="16" t="str">
        <x:v>Strategy Ret</x:v>
      </x:c>
      <x:c r="V3" s="16" t="str">
        <x:v>S&amp;P Ret</x:v>
      </x:c>
      <x:c r="W3" s="16" t="str">
        <x:v>Cash Ret</x:v>
      </x:c>
      <x:c r="X3" s="16" t="str">
        <x:v>Strategy Cum</x:v>
      </x:c>
      <x:c r="Y3" s="16" t="str">
        <x:v>S&amp;P Cum</x:v>
      </x:c>
      <x:c r="Z3" s="16" t="str">
        <x:v>Strategy DD</x:v>
      </x:c>
      <x:c r="AA3" s="16" t="str">
        <x:v>S&amp;P DD</x:v>
      </x:c>
      <x:c r="AB3" s="16" t="str">
        <x:v>Commentary</x:v>
      </x:c>
    </x:row>
    <x:row r="4">
      <x:c r="A4" s="32" t="n">
        <x:v>2000</x:v>
      </x:c>
      <x:c r="B4" s="112" t="n">
        <x:f>Data!H6</x:f>
        <x:v>0.0478</x:v>
      </x:c>
      <x:c r="C4" s="112" t="n">
        <x:f>Data!H5</x:f>
        <x:v>0.0491</x:v>
      </x:c>
      <x:c r="D4" s="113" t="n">
        <x:f>IF(B4&lt;C4-0.0025,1,IF(B4&gt;C4+0.0025,-1,0))</x:f>
        <x:v>0</x:v>
      </x:c>
      <x:c r="E4" s="112" t="n">
        <x:f>Data!J6</x:f>
        <x:v>17.9</x:v>
      </x:c>
      <x:c r="F4" s="112" t="n">
        <x:f>Data!J5</x:f>
        <x:v>12.76</x:v>
      </x:c>
      <x:c r="G4" s="113" t="n">
        <x:f>IF(E4&lt;F4*0.9,1,IF(E4&gt;F4*1.15,-1,0))</x:f>
        <x:v>-1</x:v>
      </x:c>
      <x:c r="H4" s="112" t="n">
        <x:f>Data!B6</x:f>
        <x:v>0.2089</x:v>
      </x:c>
      <x:c r="I4" s="113" t="n">
        <x:f>IF(H4&gt;0.10,1,IF(H4&lt;0,-1,0))</x:f>
        <x:v>1</x:v>
      </x:c>
      <x:c r="J4" s="112" t="n">
        <x:f>Data!E6-Data!D6</x:f>
        <x:v>0.0922</x:v>
      </x:c>
      <x:c r="K4" s="113" t="n">
        <x:f>IF(J4&gt;0.01,1,IF(J4&lt;-0.01,-1,0))</x:f>
        <x:v>1</x:v>
      </x:c>
      <x:c r="L4" s="113" t="n">
        <x:f>SUM(D4,G4,I4,K4)</x:f>
        <x:v>1</x:v>
      </x:c>
      <x:c r="M4" s="113" t="str">
        <x:f>IF(L4&gt;=2,"Risk-on",IF(L4&gt;=1,"Growth",IF(L4&gt;=0,"Balanced","Defensive")))</x:f>
        <x:v>Growth</x:v>
      </x:c>
      <x:c r="N4" s="112" t="n">
        <x:f>IF(M4="Risk-on",0.35,IF(M4="Growth",0.3,IF(M4="Balanced",0.2,0.1)))</x:f>
        <x:v>0.3</x:v>
      </x:c>
      <x:c r="O4" s="112" t="n">
        <x:f>IF(M4="Risk-on",0.1,IF(M4="Growth",0.1,IF(M4="Balanced",0.05,0.0)))</x:f>
        <x:v>0.1</x:v>
      </x:c>
      <x:c r="P4" s="112" t="n">
        <x:f>IF(M4="Risk-on",0.1,IF(M4="Growth",0.15,IF(M4="Balanced",0.2,0.25)))</x:f>
        <x:v>0.15</x:v>
      </x:c>
      <x:c r="Q4" s="112" t="n">
        <x:f>IF(M4="Risk-on",0.1,IF(M4="Growth",0.1,IF(M4="Balanced",0.15,0.2)))</x:f>
        <x:v>0.1</x:v>
      </x:c>
      <x:c r="R4" s="112" t="n">
        <x:f>IF(M4="Risk-on",0.1,IF(M4="Growth",0.1,IF(M4="Balanced",0.15,0.2)))</x:f>
        <x:v>0.1</x:v>
      </x:c>
      <x:c r="S4" s="112" t="n">
        <x:f>IF(M4="Risk-on",0.1,IF(M4="Growth",0.1,IF(M4="Balanced",0.15,0.2)))</x:f>
        <x:v>0.1</x:v>
      </x:c>
      <x:c r="T4" s="112" t="n">
        <x:f>IF(M4="Risk-on",0.15,IF(M4="Growth",0.15,IF(M4="Balanced",0.1,0.05)))</x:f>
        <x:v>0.15</x:v>
      </x:c>
      <x:c r="U4" s="114" t="n">
        <x:f>SUMPRODUCT(N4:T4,Data!B7:H7)</x:f>
        <x:v>0.010999999999999994</x:v>
      </x:c>
      <x:c r="V4" s="114" t="n">
        <x:f>Data!B7</x:f>
        <x:v>-0.0903</x:v>
      </x:c>
      <x:c r="W4" s="114" t="n">
        <x:f>Data!H7</x:f>
        <x:v>0.06</x:v>
      </x:c>
      <x:c r="X4" s="112" t="n">
        <x:f>1+U4</x:f>
        <x:v>1.011</x:v>
      </x:c>
      <x:c r="Y4" s="112" t="n">
        <x:f>1+V4</x:f>
        <x:v>0.9097</x:v>
      </x:c>
      <x:c r="Z4" s="112" t="n">
        <x:f>0</x:f>
        <x:v>0</x:v>
      </x:c>
      <x:c r="AA4" s="36" t="n">
        <x:f>0</x:f>
        <x:v>0</x:v>
      </x:c>
      <x:c r="AB4" s="34" t="str">
        <x:v>Prior-year macro + market signals; annual rebalance at start of year.</x:v>
      </x:c>
    </x:row>
    <x:row r="5">
      <x:c r="A5" s="32" t="n">
        <x:v>2001</x:v>
      </x:c>
      <x:c r="B5" s="112" t="n">
        <x:f>Data!H7</x:f>
        <x:v>0.06</x:v>
      </x:c>
      <x:c r="C5" s="112" t="n">
        <x:f>Data!H6</x:f>
        <x:v>0.0478</x:v>
      </x:c>
      <x:c r="D5" s="113" t="n">
        <x:f>IF(B5&lt;C5-0.0025,1,IF(B5&gt;C5+0.0025,-1,0))</x:f>
        <x:v>-1</x:v>
      </x:c>
      <x:c r="E5" s="112" t="n">
        <x:f>Data!J7</x:f>
        <x:v>28.66</x:v>
      </x:c>
      <x:c r="F5" s="112" t="n">
        <x:f>Data!J6</x:f>
        <x:v>17.9</x:v>
      </x:c>
      <x:c r="G5" s="113" t="n">
        <x:f>IF(E5&lt;F5*0.9,1,IF(E5&gt;F5*1.15,-1,0))</x:f>
        <x:v>-1</x:v>
      </x:c>
      <x:c r="H5" s="112" t="n">
        <x:f>Data!B7</x:f>
        <x:v>-0.0903</x:v>
      </x:c>
      <x:c r="I5" s="113" t="n">
        <x:f>IF(H5&gt;0.10,1,IF(H5&lt;0,-1,0))</x:f>
        <x:v>-1</x:v>
      </x:c>
      <x:c r="J5" s="112" t="n">
        <x:f>Data!E7-Data!D7</x:f>
        <x:v>-0.0728</x:v>
      </x:c>
      <x:c r="K5" s="113" t="n">
        <x:f>IF(J5&gt;0.01,1,IF(J5&lt;-0.01,-1,0))</x:f>
        <x:v>-1</x:v>
      </x:c>
      <x:c r="L5" s="113" t="n">
        <x:f>SUM(D5,G5,I5,K5)</x:f>
        <x:v>-4</x:v>
      </x:c>
      <x:c r="M5" s="113" t="str">
        <x:f>IF(L5&gt;=2,"Risk-on",IF(L5&gt;=1,"Growth",IF(L5&gt;=0,"Balanced","Defensive")))</x:f>
        <x:v>Defensive</x:v>
      </x:c>
      <x:c r="N5" s="112" t="n">
        <x:f>IF(M5="Risk-on",0.35,IF(M5="Growth",0.3,IF(M5="Balanced",0.2,0.1)))</x:f>
        <x:v>0.1</x:v>
      </x:c>
      <x:c r="O5" s="112" t="n">
        <x:f>IF(M5="Risk-on",0.1,IF(M5="Growth",0.1,IF(M5="Balanced",0.05,0.0)))</x:f>
        <x:v>0</x:v>
      </x:c>
      <x:c r="P5" s="112" t="n">
        <x:f>IF(M5="Risk-on",0.1,IF(M5="Growth",0.15,IF(M5="Balanced",0.2,0.25)))</x:f>
        <x:v>0.25</x:v>
      </x:c>
      <x:c r="Q5" s="112" t="n">
        <x:f>IF(M5="Risk-on",0.1,IF(M5="Growth",0.1,IF(M5="Balanced",0.15,0.2)))</x:f>
        <x:v>0.2</x:v>
      </x:c>
      <x:c r="R5" s="112" t="n">
        <x:f>IF(M5="Risk-on",0.1,IF(M5="Growth",0.1,IF(M5="Balanced",0.15,0.2)))</x:f>
        <x:v>0.2</x:v>
      </x:c>
      <x:c r="S5" s="112" t="n">
        <x:f>IF(M5="Risk-on",0.1,IF(M5="Growth",0.1,IF(M5="Balanced",0.15,0.2)))</x:f>
        <x:v>0.2</x:v>
      </x:c>
      <x:c r="T5" s="112" t="n">
        <x:f>IF(M5="Risk-on",0.15,IF(M5="Growth",0.15,IF(M5="Balanced",0.1,0.05)))</x:f>
        <x:v>0.05</x:v>
      </x:c>
      <x:c r="U5" s="114" t="n">
        <x:f>SUMPRODUCT(N5:T5,Data!B8:H8)</x:f>
        <x:v>0.035875</x:v>
      </x:c>
      <x:c r="V5" s="114" t="n">
        <x:f>Data!B8</x:f>
        <x:v>-0.1185</x:v>
      </x:c>
      <x:c r="W5" s="114" t="n">
        <x:f>Data!H8</x:f>
        <x:v>0.0348</x:v>
      </x:c>
      <x:c r="X5" s="112" t="n">
        <x:f>X4*(1+U5)</x:f>
        <x:v>1.047269625</x:v>
      </x:c>
      <x:c r="Y5" s="112" t="n">
        <x:f>Y4*(1+V5)</x:f>
        <x:v>0.8019005499999999</x:v>
      </x:c>
      <x:c r="Z5" s="112" t="n">
        <x:f>X5/MAX($X$4:X5)-1</x:f>
        <x:v>0</x:v>
      </x:c>
      <x:c r="AA5" s="36" t="n">
        <x:f>Y5/MAX($Y$4:Y5)-1</x:f>
        <x:v>-0.11850000000000005</x:v>
      </x:c>
      <x:c r="AB5" s="34" t="str">
        <x:v>Prior-year macro + market signals; annual rebalance at start of year.</x:v>
      </x:c>
    </x:row>
    <x:row r="6">
      <x:c r="A6" s="32" t="n">
        <x:v>2002</x:v>
      </x:c>
      <x:c r="B6" s="112" t="n">
        <x:f>Data!H8</x:f>
        <x:v>0.0348</x:v>
      </x:c>
      <x:c r="C6" s="112" t="n">
        <x:f>Data!H7</x:f>
        <x:v>0.06</x:v>
      </x:c>
      <x:c r="D6" s="113" t="n">
        <x:f>IF(B6&lt;C6-0.0025,1,IF(B6&gt;C6+0.0025,-1,0))</x:f>
        <x:v>1</x:v>
      </x:c>
      <x:c r="E6" s="112" t="n">
        <x:f>Data!J8</x:f>
        <x:v>24.46</x:v>
      </x:c>
      <x:c r="F6" s="112" t="n">
        <x:f>Data!J7</x:f>
        <x:v>28.66</x:v>
      </x:c>
      <x:c r="G6" s="113" t="n">
        <x:f>IF(E6&lt;F6*0.9,1,IF(E6&gt;F6*1.15,-1,0))</x:f>
        <x:v>1</x:v>
      </x:c>
      <x:c r="H6" s="112" t="n">
        <x:f>Data!B8</x:f>
        <x:v>-0.1185</x:v>
      </x:c>
      <x:c r="I6" s="113" t="n">
        <x:f>IF(H6&gt;0.10,1,IF(H6&lt;0,-1,0))</x:f>
        <x:v>-1</x:v>
      </x:c>
      <x:c r="J6" s="112" t="n">
        <x:f>Data!E8-Data!D8</x:f>
        <x:v>0.030299999999999994</x:v>
      </x:c>
      <x:c r="K6" s="113" t="n">
        <x:f>IF(J6&gt;0.01,1,IF(J6&lt;-0.01,-1,0))</x:f>
        <x:v>1</x:v>
      </x:c>
      <x:c r="L6" s="113" t="n">
        <x:f>SUM(D6,G6,I6,K6)</x:f>
        <x:v>2</x:v>
      </x:c>
      <x:c r="M6" s="113" t="str">
        <x:f>IF(L6&gt;=2,"Risk-on",IF(L6&gt;=1,"Growth",IF(L6&gt;=0,"Balanced","Defensive")))</x:f>
        <x:v>Risk-on</x:v>
      </x:c>
      <x:c r="N6" s="112" t="n">
        <x:f>IF(M6="Risk-on",0.35,IF(M6="Growth",0.3,IF(M6="Balanced",0.2,0.1)))</x:f>
        <x:v>0.35</x:v>
      </x:c>
      <x:c r="O6" s="112" t="n">
        <x:f>IF(M6="Risk-on",0.1,IF(M6="Growth",0.1,IF(M6="Balanced",0.05,0.0)))</x:f>
        <x:v>0.1</x:v>
      </x:c>
      <x:c r="P6" s="112" t="n">
        <x:f>IF(M6="Risk-on",0.1,IF(M6="Growth",0.15,IF(M6="Balanced",0.2,0.25)))</x:f>
        <x:v>0.1</x:v>
      </x:c>
      <x:c r="Q6" s="112" t="n">
        <x:f>IF(M6="Risk-on",0.1,IF(M6="Growth",0.1,IF(M6="Balanced",0.15,0.2)))</x:f>
        <x:v>0.1</x:v>
      </x:c>
      <x:c r="R6" s="112" t="n">
        <x:f>IF(M6="Risk-on",0.1,IF(M6="Growth",0.1,IF(M6="Balanced",0.15,0.2)))</x:f>
        <x:v>0.1</x:v>
      </x:c>
      <x:c r="S6" s="112" t="n">
        <x:f>IF(M6="Risk-on",0.1,IF(M6="Growth",0.1,IF(M6="Balanced",0.15,0.2)))</x:f>
        <x:v>0.1</x:v>
      </x:c>
      <x:c r="T6" s="112" t="n">
        <x:f>IF(M6="Risk-on",0.15,IF(M6="Growth",0.15,IF(M6="Balanced",0.1,0.05)))</x:f>
        <x:v>0.15</x:v>
      </x:c>
      <x:c r="U6" s="114" t="n">
        <x:f>SUMPRODUCT(N6:T6,Data!B9:H9)</x:f>
        <x:v>-0.015735</x:v>
      </x:c>
      <x:c r="V6" s="114" t="n">
        <x:f>Data!B9</x:f>
        <x:v>-0.2197</x:v>
      </x:c>
      <x:c r="W6" s="114" t="n">
        <x:f>Data!H9</x:f>
        <x:v>0.0164</x:v>
      </x:c>
      <x:c r="X6" s="112" t="n">
        <x:f>X5*(1+U6)</x:f>
        <x:v>1.030790837450625</x:v>
      </x:c>
      <x:c r="Y6" s="112" t="n">
        <x:f>Y5*(1+V6)</x:f>
        <x:v>0.625722999165</x:v>
      </x:c>
      <x:c r="Z6" s="112" t="n">
        <x:f>X6/MAX($X$4:X6)-1</x:f>
        <x:v>-0.015735000000000054</x:v>
      </x:c>
      <x:c r="AA6" s="36" t="n">
        <x:f>Y6/MAX($Y$4:Y6)-1</x:f>
        <x:v>-0.31216555</x:v>
      </x:c>
      <x:c r="AB6" s="34" t="str">
        <x:v>Prior-year macro + market signals; annual rebalance at start of year.</x:v>
      </x:c>
    </x:row>
    <x:row r="7">
      <x:c r="A7" s="32" t="n">
        <x:v>2003</x:v>
      </x:c>
      <x:c r="B7" s="112" t="n">
        <x:f>Data!H9</x:f>
        <x:v>0.0164</x:v>
      </x:c>
      <x:c r="C7" s="112" t="n">
        <x:f>Data!H8</x:f>
        <x:v>0.0348</x:v>
      </x:c>
      <x:c r="D7" s="113" t="n">
        <x:f>IF(B7&lt;C7-0.0025,1,IF(B7&gt;C7+0.0025,-1,0))</x:f>
        <x:v>1</x:v>
      </x:c>
      <x:c r="E7" s="112" t="n">
        <x:f>Data!J9</x:f>
        <x:v>24.99</x:v>
      </x:c>
      <x:c r="F7" s="112" t="n">
        <x:f>Data!J8</x:f>
        <x:v>24.46</x:v>
      </x:c>
      <x:c r="G7" s="113" t="n">
        <x:f>IF(E7&lt;F7*0.9,1,IF(E7&gt;F7*1.15,-1,0))</x:f>
        <x:v>0</x:v>
      </x:c>
      <x:c r="H7" s="112" t="n">
        <x:f>Data!B9</x:f>
        <x:v>-0.2197</x:v>
      </x:c>
      <x:c r="I7" s="113" t="n">
        <x:f>IF(H7&gt;0.10,1,IF(H7&lt;0,-1,0))</x:f>
        <x:v>-1</x:v>
      </x:c>
      <x:c r="J7" s="112" t="n">
        <x:f>Data!E9-Data!D9</x:f>
        <x:v>-0.030600000000000002</x:v>
      </x:c>
      <x:c r="K7" s="113" t="n">
        <x:f>IF(J7&gt;0.01,1,IF(J7&lt;-0.01,-1,0))</x:f>
        <x:v>-1</x:v>
      </x:c>
      <x:c r="L7" s="113" t="n">
        <x:f>SUM(D7,G7,I7,K7)</x:f>
        <x:v>-1</x:v>
      </x:c>
      <x:c r="M7" s="113" t="str">
        <x:f>IF(L7&gt;=2,"Risk-on",IF(L7&gt;=1,"Growth",IF(L7&gt;=0,"Balanced","Defensive")))</x:f>
        <x:v>Defensive</x:v>
      </x:c>
      <x:c r="N7" s="112" t="n">
        <x:f>IF(M7="Risk-on",0.35,IF(M7="Growth",0.3,IF(M7="Balanced",0.2,0.1)))</x:f>
        <x:v>0.1</x:v>
      </x:c>
      <x:c r="O7" s="112" t="n">
        <x:f>IF(M7="Risk-on",0.1,IF(M7="Growth",0.1,IF(M7="Balanced",0.05,0.0)))</x:f>
        <x:v>0</x:v>
      </x:c>
      <x:c r="P7" s="112" t="n">
        <x:f>IF(M7="Risk-on",0.1,IF(M7="Growth",0.15,IF(M7="Balanced",0.2,0.25)))</x:f>
        <x:v>0.25</x:v>
      </x:c>
      <x:c r="Q7" s="112" t="n">
        <x:f>IF(M7="Risk-on",0.1,IF(M7="Growth",0.1,IF(M7="Balanced",0.15,0.2)))</x:f>
        <x:v>0.2</x:v>
      </x:c>
      <x:c r="R7" s="112" t="n">
        <x:f>IF(M7="Risk-on",0.1,IF(M7="Growth",0.1,IF(M7="Balanced",0.15,0.2)))</x:f>
        <x:v>0.2</x:v>
      </x:c>
      <x:c r="S7" s="112" t="n">
        <x:f>IF(M7="Risk-on",0.1,IF(M7="Growth",0.1,IF(M7="Balanced",0.15,0.2)))</x:f>
        <x:v>0.2</x:v>
      </x:c>
      <x:c r="T7" s="112" t="n">
        <x:f>IF(M7="Risk-on",0.15,IF(M7="Growth",0.15,IF(M7="Balanced",0.1,0.05)))</x:f>
        <x:v>0.05</x:v>
      </x:c>
      <x:c r="U7" s="114" t="n">
        <x:f>SUMPRODUCT(N7:T7,Data!B10:H10)</x:f>
        <x:v>0.11398500000000002</x:v>
      </x:c>
      <x:c r="V7" s="114" t="n">
        <x:f>Data!B10</x:f>
        <x:v>0.2836</x:v>
      </x:c>
      <x:c r="W7" s="114" t="n">
        <x:f>Data!H10</x:f>
        <x:v>0.0103</x:v>
      </x:c>
      <x:c r="X7" s="112" t="n">
        <x:f>X6*(1+U7)</x:f>
        <x:v>1.1482855310574345</x:v>
      </x:c>
      <x:c r="Y7" s="112" t="n">
        <x:f>Y6*(1+V7)</x:f>
        <x:v>0.803178041728194</x:v>
      </x:c>
      <x:c r="Z7" s="112" t="n">
        <x:f>X7/MAX($X$4:X7)-1</x:f>
        <x:v>0</x:v>
      </x:c>
      <x:c r="AA7" s="36" t="n">
        <x:f>Y7/MAX($Y$4:Y7)-1</x:f>
        <x:v>-0.11709569998000002</x:v>
      </x:c>
      <x:c r="AB7" s="34" t="str">
        <x:v>Prior-year macro + market signals; annual rebalance at start of year.</x:v>
      </x:c>
    </x:row>
    <x:row r="8">
      <x:c r="A8" s="32" t="n">
        <x:v>2004</x:v>
      </x:c>
      <x:c r="B8" s="112" t="n">
        <x:f>Data!H10</x:f>
        <x:v>0.0103</x:v>
      </x:c>
      <x:c r="C8" s="112" t="n">
        <x:f>Data!H9</x:f>
        <x:v>0.0164</x:v>
      </x:c>
      <x:c r="D8" s="113" t="n">
        <x:f>IF(B8&lt;C8-0.0025,1,IF(B8&gt;C8+0.0025,-1,0))</x:f>
        <x:v>1</x:v>
      </x:c>
      <x:c r="E8" s="112" t="n">
        <x:f>Data!J10</x:f>
        <x:v>28.85</x:v>
      </x:c>
      <x:c r="F8" s="112" t="n">
        <x:f>Data!J9</x:f>
        <x:v>24.99</x:v>
      </x:c>
      <x:c r="G8" s="113" t="n">
        <x:f>IF(E8&lt;F8*0.9,1,IF(E8&gt;F8*1.15,-1,0))</x:f>
        <x:v>-1</x:v>
      </x:c>
      <x:c r="H8" s="112" t="n">
        <x:f>Data!B10</x:f>
        <x:v>0.2836</x:v>
      </x:c>
      <x:c r="I8" s="113" t="n">
        <x:f>IF(H8&gt;0.10,1,IF(H8&lt;0,-1,0))</x:f>
        <x:v>1</x:v>
      </x:c>
      <x:c r="J8" s="112" t="n">
        <x:f>Data!E10-Data!D10</x:f>
        <x:v>0.12</x:v>
      </x:c>
      <x:c r="K8" s="113" t="n">
        <x:f>IF(J8&gt;0.01,1,IF(J8&lt;-0.01,-1,0))</x:f>
        <x:v>1</x:v>
      </x:c>
      <x:c r="L8" s="113" t="n">
        <x:f>SUM(D8,G8,I8,K8)</x:f>
        <x:v>2</x:v>
      </x:c>
      <x:c r="M8" s="113" t="str">
        <x:f>IF(L8&gt;=2,"Risk-on",IF(L8&gt;=1,"Growth",IF(L8&gt;=0,"Balanced","Defensive")))</x:f>
        <x:v>Risk-on</x:v>
      </x:c>
      <x:c r="N8" s="112" t="n">
        <x:f>IF(M8="Risk-on",0.35,IF(M8="Growth",0.3,IF(M8="Balanced",0.2,0.1)))</x:f>
        <x:v>0.35</x:v>
      </x:c>
      <x:c r="O8" s="112" t="n">
        <x:f>IF(M8="Risk-on",0.1,IF(M8="Growth",0.1,IF(M8="Balanced",0.05,0.0)))</x:f>
        <x:v>0.1</x:v>
      </x:c>
      <x:c r="P8" s="112" t="n">
        <x:f>IF(M8="Risk-on",0.1,IF(M8="Growth",0.15,IF(M8="Balanced",0.2,0.25)))</x:f>
        <x:v>0.1</x:v>
      </x:c>
      <x:c r="Q8" s="112" t="n">
        <x:f>IF(M8="Risk-on",0.1,IF(M8="Growth",0.1,IF(M8="Balanced",0.15,0.2)))</x:f>
        <x:v>0.1</x:v>
      </x:c>
      <x:c r="R8" s="112" t="n">
        <x:f>IF(M8="Risk-on",0.1,IF(M8="Growth",0.1,IF(M8="Balanced",0.15,0.2)))</x:f>
        <x:v>0.1</x:v>
      </x:c>
      <x:c r="S8" s="112" t="n">
        <x:f>IF(M8="Risk-on",0.1,IF(M8="Growth",0.1,IF(M8="Balanced",0.15,0.2)))</x:f>
        <x:v>0.1</x:v>
      </x:c>
      <x:c r="T8" s="112" t="n">
        <x:f>IF(M8="Risk-on",0.15,IF(M8="Growth",0.15,IF(M8="Balanced",0.1,0.05)))</x:f>
        <x:v>0.15</x:v>
      </x:c>
      <x:c r="U8" s="114" t="n">
        <x:f>SUMPRODUCT(N8:T8,Data!B11:H11)</x:f>
        <x:v>0.0901</x:v>
      </x:c>
      <x:c r="V8" s="114" t="n">
        <x:f>Data!B11</x:f>
        <x:v>0.1074</x:v>
      </x:c>
      <x:c r="W8" s="114" t="n">
        <x:f>Data!H11</x:f>
        <x:v>0.014</x:v>
      </x:c>
      <x:c r="X8" s="112" t="n">
        <x:f>X7*(1+U8)</x:f>
        <x:v>1.2517460574057093</x:v>
      </x:c>
      <x:c r="Y8" s="112" t="n">
        <x:f>Y7*(1+V8)</x:f>
        <x:v>0.8894393634098019</x:v>
      </x:c>
      <x:c r="Z8" s="112" t="n">
        <x:f>X8/MAX($X$4:X8)-1</x:f>
        <x:v>0</x:v>
      </x:c>
      <x:c r="AA8" s="36" t="n">
        <x:f>Y8/MAX($Y$4:Y8)-1</x:f>
        <x:v>-0.022271778157852085</x:v>
      </x:c>
      <x:c r="AB8" s="34" t="str">
        <x:v>Prior-year macro + market signals; annual rebalance at start of year.</x:v>
      </x:c>
    </x:row>
    <x:row r="9">
      <x:c r="A9" s="32" t="n">
        <x:v>2005</x:v>
      </x:c>
      <x:c r="B9" s="112" t="n">
        <x:f>Data!H11</x:f>
        <x:v>0.014</x:v>
      </x:c>
      <x:c r="C9" s="112" t="n">
        <x:f>Data!H10</x:f>
        <x:v>0.0103</x:v>
      </x:c>
      <x:c r="D9" s="113" t="n">
        <x:f>IF(B9&lt;C9-0.0025,1,IF(B9&gt;C9+0.0025,-1,0))</x:f>
        <x:v>-1</x:v>
      </x:c>
      <x:c r="E9" s="112" t="n">
        <x:f>Data!J11</x:f>
        <x:v>38.26</x:v>
      </x:c>
      <x:c r="F9" s="112" t="n">
        <x:f>Data!J10</x:f>
        <x:v>28.85</x:v>
      </x:c>
      <x:c r="G9" s="113" t="n">
        <x:f>IF(E9&lt;F9*0.9,1,IF(E9&gt;F9*1.15,-1,0))</x:f>
        <x:v>-1</x:v>
      </x:c>
      <x:c r="H9" s="112" t="n">
        <x:f>Data!B11</x:f>
        <x:v>0.1074</x:v>
      </x:c>
      <x:c r="I9" s="113" t="n">
        <x:f>IF(H9&gt;0.10,1,IF(H9&lt;0,-1,0))</x:f>
        <x:v>1</x:v>
      </x:c>
      <x:c r="J9" s="112" t="n">
        <x:f>Data!E11-Data!D11</x:f>
        <x:v>0.0584</x:v>
      </x:c>
      <x:c r="K9" s="113" t="n">
        <x:f>IF(J9&gt;0.01,1,IF(J9&lt;-0.01,-1,0))</x:f>
        <x:v>1</x:v>
      </x:c>
      <x:c r="L9" s="113" t="n">
        <x:f>SUM(D9,G9,I9,K9)</x:f>
        <x:v>0</x:v>
      </x:c>
      <x:c r="M9" s="113" t="str">
        <x:f>IF(L9&gt;=2,"Risk-on",IF(L9&gt;=1,"Growth",IF(L9&gt;=0,"Balanced","Defensive")))</x:f>
        <x:v>Balanced</x:v>
      </x:c>
      <x:c r="N9" s="112" t="n">
        <x:f>IF(M9="Risk-on",0.35,IF(M9="Growth",0.3,IF(M9="Balanced",0.2,0.1)))</x:f>
        <x:v>0.2</x:v>
      </x:c>
      <x:c r="O9" s="112" t="n">
        <x:f>IF(M9="Risk-on",0.1,IF(M9="Growth",0.1,IF(M9="Balanced",0.05,0.0)))</x:f>
        <x:v>0.05</x:v>
      </x:c>
      <x:c r="P9" s="112" t="n">
        <x:f>IF(M9="Risk-on",0.1,IF(M9="Growth",0.15,IF(M9="Balanced",0.2,0.25)))</x:f>
        <x:v>0.2</x:v>
      </x:c>
      <x:c r="Q9" s="112" t="n">
        <x:f>IF(M9="Risk-on",0.1,IF(M9="Growth",0.1,IF(M9="Balanced",0.15,0.2)))</x:f>
        <x:v>0.15</x:v>
      </x:c>
      <x:c r="R9" s="112" t="n">
        <x:f>IF(M9="Risk-on",0.1,IF(M9="Growth",0.1,IF(M9="Balanced",0.15,0.2)))</x:f>
        <x:v>0.15</x:v>
      </x:c>
      <x:c r="S9" s="112" t="n">
        <x:f>IF(M9="Risk-on",0.1,IF(M9="Growth",0.1,IF(M9="Balanced",0.15,0.2)))</x:f>
        <x:v>0.15</x:v>
      </x:c>
      <x:c r="T9" s="112" t="n">
        <x:f>IF(M9="Risk-on",0.15,IF(M9="Growth",0.15,IF(M9="Balanced",0.1,0.05)))</x:f>
        <x:v>0.1</x:v>
      </x:c>
      <x:c r="U9" s="114" t="n">
        <x:f>SUMPRODUCT(N9:T9,Data!B12:H12)</x:f>
        <x:v>0.075125</x:v>
      </x:c>
      <x:c r="V9" s="114" t="n">
        <x:f>Data!B12</x:f>
        <x:v>0.0483</x:v>
      </x:c>
      <x:c r="W9" s="114" t="n">
        <x:f>Data!H12</x:f>
        <x:v>0.0322</x:v>
      </x:c>
      <x:c r="X9" s="112" t="n">
        <x:f>X8*(1+U9)</x:f>
        <x:v>1.345783479968313</x:v>
      </x:c>
      <x:c r="Y9" s="112" t="n">
        <x:f>Y8*(1+V9)</x:f>
        <x:v>0.9323992846624953</x:v>
      </x:c>
      <x:c r="Z9" s="112" t="n">
        <x:f>X9/MAX($X$4:X9)-1</x:f>
        <x:v>0</x:v>
      </x:c>
      <x:c r="AA9" s="36" t="n">
        <x:f>Y9/MAX($Y$4:Y9)-1</x:f>
        <x:v>0</x:v>
      </x:c>
      <x:c r="AB9" s="34" t="str">
        <x:v>Prior-year macro + market signals; annual rebalance at start of year.</x:v>
      </x:c>
    </x:row>
    <x:row r="10">
      <x:c r="A10" s="32" t="n">
        <x:v>2006</x:v>
      </x:c>
      <x:c r="B10" s="112" t="n">
        <x:f>Data!H12</x:f>
        <x:v>0.0322</x:v>
      </x:c>
      <x:c r="C10" s="112" t="n">
        <x:f>Data!H11</x:f>
        <x:v>0.014</x:v>
      </x:c>
      <x:c r="D10" s="113" t="n">
        <x:f>IF(B10&lt;C10-0.0025,1,IF(B10&gt;C10+0.0025,-1,0))</x:f>
        <x:v>-1</x:v>
      </x:c>
      <x:c r="E10" s="112" t="n">
        <x:f>Data!J12</x:f>
        <x:v>54.57</x:v>
      </x:c>
      <x:c r="F10" s="112" t="n">
        <x:f>Data!J11</x:f>
        <x:v>38.26</x:v>
      </x:c>
      <x:c r="G10" s="113" t="n">
        <x:f>IF(E10&lt;F10*0.9,1,IF(E10&gt;F10*1.15,-1,0))</x:f>
        <x:v>-1</x:v>
      </x:c>
      <x:c r="H10" s="112" t="n">
        <x:f>Data!B12</x:f>
        <x:v>0.0483</x:v>
      </x:c>
      <x:c r="I10" s="113" t="n">
        <x:f>IF(H10&gt;0.10,1,IF(H10&lt;0,-1,0))</x:f>
        <x:v>0</x:v>
      </x:c>
      <x:c r="J10" s="112" t="n">
        <x:f>Data!E12-Data!D12</x:f>
        <x:v>0.0226</x:v>
      </x:c>
      <x:c r="K10" s="113" t="n">
        <x:f>IF(J10&gt;0.01,1,IF(J10&lt;-0.01,-1,0))</x:f>
        <x:v>1</x:v>
      </x:c>
      <x:c r="L10" s="113" t="n">
        <x:f>SUM(D10,G10,I10,K10)</x:f>
        <x:v>-1</x:v>
      </x:c>
      <x:c r="M10" s="113" t="str">
        <x:f>IF(L10&gt;=2,"Risk-on",IF(L10&gt;=1,"Growth",IF(L10&gt;=0,"Balanced","Defensive")))</x:f>
        <x:v>Defensive</x:v>
      </x:c>
      <x:c r="N10" s="112" t="n">
        <x:f>IF(M10="Risk-on",0.35,IF(M10="Growth",0.3,IF(M10="Balanced",0.2,0.1)))</x:f>
        <x:v>0.1</x:v>
      </x:c>
      <x:c r="O10" s="112" t="n">
        <x:f>IF(M10="Risk-on",0.1,IF(M10="Growth",0.1,IF(M10="Balanced",0.05,0.0)))</x:f>
        <x:v>0</x:v>
      </x:c>
      <x:c r="P10" s="112" t="n">
        <x:f>IF(M10="Risk-on",0.1,IF(M10="Growth",0.15,IF(M10="Balanced",0.2,0.25)))</x:f>
        <x:v>0.25</x:v>
      </x:c>
      <x:c r="Q10" s="112" t="n">
        <x:f>IF(M10="Risk-on",0.1,IF(M10="Growth",0.1,IF(M10="Balanced",0.15,0.2)))</x:f>
        <x:v>0.2</x:v>
      </x:c>
      <x:c r="R10" s="112" t="n">
        <x:f>IF(M10="Risk-on",0.1,IF(M10="Growth",0.1,IF(M10="Balanced",0.15,0.2)))</x:f>
        <x:v>0.2</x:v>
      </x:c>
      <x:c r="S10" s="112" t="n">
        <x:f>IF(M10="Risk-on",0.1,IF(M10="Growth",0.1,IF(M10="Balanced",0.15,0.2)))</x:f>
        <x:v>0.2</x:v>
      </x:c>
      <x:c r="T10" s="112" t="n">
        <x:f>IF(M10="Risk-on",0.15,IF(M10="Growth",0.15,IF(M10="Balanced",0.1,0.05)))</x:f>
        <x:v>0.05</x:v>
      </x:c>
      <x:c r="U10" s="114" t="n">
        <x:f>SUMPRODUCT(N10:T10,Data!B13:H13)</x:f>
        <x:v>0.083335</x:v>
      </x:c>
      <x:c r="V10" s="114" t="n">
        <x:f>Data!B13</x:f>
        <x:v>0.1561</x:v>
      </x:c>
      <x:c r="W10" s="114" t="n">
        <x:f>Data!H13</x:f>
        <x:v>0.0485</x:v>
      </x:c>
      <x:c r="X10" s="112" t="n">
        <x:f>X9*(1+U10)</x:f>
        <x:v>1.4579343462714722</x:v>
      </x:c>
      <x:c r="Y10" s="112" t="n">
        <x:f>Y9*(1+V10)</x:f>
        <x:v>1.0779468129983107</x:v>
      </x:c>
      <x:c r="Z10" s="112" t="n">
        <x:f>X10/MAX($X$4:X10)-1</x:f>
        <x:v>0</x:v>
      </x:c>
      <x:c r="AA10" s="36" t="n">
        <x:f>Y10/MAX($Y$4:Y10)-1</x:f>
        <x:v>0</x:v>
      </x:c>
      <x:c r="AB10" s="34" t="str">
        <x:v>Prior-year macro + market signals; annual rebalance at start of year.</x:v>
      </x:c>
    </x:row>
    <x:row r="11">
      <x:c r="A11" s="32" t="n">
        <x:v>2007</x:v>
      </x:c>
      <x:c r="B11" s="112" t="n">
        <x:f>Data!H13</x:f>
        <x:v>0.0485</x:v>
      </x:c>
      <x:c r="C11" s="112" t="n">
        <x:f>Data!H12</x:f>
        <x:v>0.0322</x:v>
      </x:c>
      <x:c r="D11" s="113" t="n">
        <x:f>IF(B11&lt;C11-0.0025,1,IF(B11&gt;C11+0.0025,-1,0))</x:f>
        <x:v>-1</x:v>
      </x:c>
      <x:c r="E11" s="112" t="n">
        <x:f>Data!J13</x:f>
        <x:v>65.16</x:v>
      </x:c>
      <x:c r="F11" s="112" t="n">
        <x:f>Data!J12</x:f>
        <x:v>54.57</x:v>
      </x:c>
      <x:c r="G11" s="113" t="n">
        <x:f>IF(E11&lt;F11*0.9,1,IF(E11&gt;F11*1.15,-1,0))</x:f>
        <x:v>-1</x:v>
      </x:c>
      <x:c r="H11" s="112" t="n">
        <x:f>Data!B13</x:f>
        <x:v>0.1561</x:v>
      </x:c>
      <x:c r="I11" s="113" t="n">
        <x:f>IF(H11&gt;0.10,1,IF(H11&lt;0,-1,0))</x:f>
        <x:v>1</x:v>
      </x:c>
      <x:c r="J11" s="112" t="n">
        <x:f>Data!E13-Data!D13</x:f>
        <x:v>0.0331</x:v>
      </x:c>
      <x:c r="K11" s="113" t="n">
        <x:f>IF(J11&gt;0.01,1,IF(J11&lt;-0.01,-1,0))</x:f>
        <x:v>1</x:v>
      </x:c>
      <x:c r="L11" s="113" t="n">
        <x:f>SUM(D11,G11,I11,K11)</x:f>
        <x:v>0</x:v>
      </x:c>
      <x:c r="M11" s="113" t="str">
        <x:f>IF(L11&gt;=2,"Risk-on",IF(L11&gt;=1,"Growth",IF(L11&gt;=0,"Balanced","Defensive")))</x:f>
        <x:v>Balanced</x:v>
      </x:c>
      <x:c r="N11" s="112" t="n">
        <x:f>IF(M11="Risk-on",0.35,IF(M11="Growth",0.3,IF(M11="Balanced",0.2,0.1)))</x:f>
        <x:v>0.2</x:v>
      </x:c>
      <x:c r="O11" s="112" t="n">
        <x:f>IF(M11="Risk-on",0.1,IF(M11="Growth",0.1,IF(M11="Balanced",0.05,0.0)))</x:f>
        <x:v>0.05</x:v>
      </x:c>
      <x:c r="P11" s="112" t="n">
        <x:f>IF(M11="Risk-on",0.1,IF(M11="Growth",0.15,IF(M11="Balanced",0.2,0.25)))</x:f>
        <x:v>0.2</x:v>
      </x:c>
      <x:c r="Q11" s="112" t="n">
        <x:f>IF(M11="Risk-on",0.1,IF(M11="Growth",0.1,IF(M11="Balanced",0.15,0.2)))</x:f>
        <x:v>0.15</x:v>
      </x:c>
      <x:c r="R11" s="112" t="n">
        <x:f>IF(M11="Risk-on",0.1,IF(M11="Growth",0.1,IF(M11="Balanced",0.15,0.2)))</x:f>
        <x:v>0.15</x:v>
      </x:c>
      <x:c r="S11" s="112" t="n">
        <x:f>IF(M11="Risk-on",0.1,IF(M11="Growth",0.1,IF(M11="Balanced",0.15,0.2)))</x:f>
        <x:v>0.15</x:v>
      </x:c>
      <x:c r="T11" s="112" t="n">
        <x:f>IF(M11="Risk-on",0.15,IF(M11="Growth",0.15,IF(M11="Balanced",0.1,0.05)))</x:f>
        <x:v>0.1</x:v>
      </x:c>
      <x:c r="U11" s="114" t="n">
        <x:f>SUMPRODUCT(N11:T11,Data!B14:H14)</x:f>
        <x:v>0.078435</x:v>
      </x:c>
      <x:c r="V11" s="114" t="n">
        <x:f>Data!B14</x:f>
        <x:v>0.0548</x:v>
      </x:c>
      <x:c r="W11" s="114" t="n">
        <x:f>Data!H14</x:f>
        <x:v>0.0448</x:v>
      </x:c>
      <x:c r="X11" s="112" t="n">
        <x:f>X10*(1+U11)</x:f>
        <x:v>1.5722874267212752</x:v>
      </x:c>
      <x:c r="Y11" s="112" t="n">
        <x:f>Y10*(1+V11)</x:f>
        <x:v>1.137018298350618</x:v>
      </x:c>
      <x:c r="Z11" s="112" t="n">
        <x:f>X11/MAX($X$4:X11)-1</x:f>
        <x:v>0</x:v>
      </x:c>
      <x:c r="AA11" s="36" t="n">
        <x:f>Y11/MAX($Y$4:Y11)-1</x:f>
        <x:v>0</x:v>
      </x:c>
      <x:c r="AB11" s="34" t="str">
        <x:v>Prior-year macro + market signals; annual rebalance at start of year.</x:v>
      </x:c>
    </x:row>
    <x:row r="12">
      <x:c r="A12" s="32" t="n">
        <x:v>2008</x:v>
      </x:c>
      <x:c r="B12" s="112" t="n">
        <x:f>Data!H14</x:f>
        <x:v>0.0448</x:v>
      </x:c>
      <x:c r="C12" s="112" t="n">
        <x:f>Data!H13</x:f>
        <x:v>0.0485</x:v>
      </x:c>
      <x:c r="D12" s="113" t="n">
        <x:f>IF(B12&lt;C12-0.0025,1,IF(B12&gt;C12+0.0025,-1,0))</x:f>
        <x:v>1</x:v>
      </x:c>
      <x:c r="E12" s="112" t="n">
        <x:f>Data!J14</x:f>
        <x:v>72.44</x:v>
      </x:c>
      <x:c r="F12" s="112" t="n">
        <x:f>Data!J13</x:f>
        <x:v>65.16</x:v>
      </x:c>
      <x:c r="G12" s="113" t="n">
        <x:f>IF(E12&lt;F12*0.9,1,IF(E12&gt;F12*1.15,-1,0))</x:f>
        <x:v>0</x:v>
      </x:c>
      <x:c r="H12" s="112" t="n">
        <x:f>Data!B14</x:f>
        <x:v>0.0548</x:v>
      </x:c>
      <x:c r="I12" s="113" t="n">
        <x:f>IF(H12&gt;0.10,1,IF(H12&lt;0,-1,0))</x:f>
        <x:v>0</x:v>
      </x:c>
      <x:c r="J12" s="112" t="n">
        <x:f>Data!E14-Data!D14</x:f>
        <x:v>-0.053099999999999994</x:v>
      </x:c>
      <x:c r="K12" s="113" t="n">
        <x:f>IF(J12&gt;0.01,1,IF(J12&lt;-0.01,-1,0))</x:f>
        <x:v>-1</x:v>
      </x:c>
      <x:c r="L12" s="113" t="n">
        <x:f>SUM(D12,G12,I12,K12)</x:f>
        <x:v>0</x:v>
      </x:c>
      <x:c r="M12" s="113" t="str">
        <x:f>IF(L12&gt;=2,"Risk-on",IF(L12&gt;=1,"Growth",IF(L12&gt;=0,"Balanced","Defensive")))</x:f>
        <x:v>Balanced</x:v>
      </x:c>
      <x:c r="N12" s="112" t="n">
        <x:f>IF(M12="Risk-on",0.35,IF(M12="Growth",0.3,IF(M12="Balanced",0.2,0.1)))</x:f>
        <x:v>0.2</x:v>
      </x:c>
      <x:c r="O12" s="112" t="n">
        <x:f>IF(M12="Risk-on",0.1,IF(M12="Growth",0.1,IF(M12="Balanced",0.05,0.0)))</x:f>
        <x:v>0.05</x:v>
      </x:c>
      <x:c r="P12" s="112" t="n">
        <x:f>IF(M12="Risk-on",0.1,IF(M12="Growth",0.15,IF(M12="Balanced",0.2,0.25)))</x:f>
        <x:v>0.2</x:v>
      </x:c>
      <x:c r="Q12" s="112" t="n">
        <x:f>IF(M12="Risk-on",0.1,IF(M12="Growth",0.1,IF(M12="Balanced",0.15,0.2)))</x:f>
        <x:v>0.15</x:v>
      </x:c>
      <x:c r="R12" s="112" t="n">
        <x:f>IF(M12="Risk-on",0.1,IF(M12="Growth",0.1,IF(M12="Balanced",0.15,0.2)))</x:f>
        <x:v>0.15</x:v>
      </x:c>
      <x:c r="S12" s="112" t="n">
        <x:f>IF(M12="Risk-on",0.1,IF(M12="Growth",0.1,IF(M12="Balanced",0.15,0.2)))</x:f>
        <x:v>0.15</x:v>
      </x:c>
      <x:c r="T12" s="112" t="n">
        <x:f>IF(M12="Risk-on",0.15,IF(M12="Growth",0.15,IF(M12="Balanced",0.1,0.05)))</x:f>
        <x:v>0.1</x:v>
      </x:c>
      <x:c r="U12" s="114" t="n">
        <x:f>SUMPRODUCT(N12:T12,Data!B15:H15)</x:f>
        <x:v>-0.07051999999999999</x:v>
      </x:c>
      <x:c r="V12" s="114" t="n">
        <x:f>Data!B15</x:f>
        <x:v>-0.3655</x:v>
      </x:c>
      <x:c r="W12" s="114" t="n">
        <x:f>Data!H15</x:f>
        <x:v>0.014</x:v>
      </x:c>
      <x:c r="X12" s="112" t="n">
        <x:f>X11*(1+U12)</x:f>
        <x:v>1.461409717388891</x:v>
      </x:c>
      <x:c r="Y12" s="112" t="n">
        <x:f>Y11*(1+V12)</x:f>
        <x:v>0.7214381103034673</x:v>
      </x:c>
      <x:c r="Z12" s="112" t="n">
        <x:f>X12/MAX($X$4:X12)-1</x:f>
        <x:v>-0.07051999999999992</x:v>
      </x:c>
      <x:c r="AA12" s="36" t="n">
        <x:f>Y12/MAX($Y$4:Y12)-1</x:f>
        <x:v>-0.36549999999999994</x:v>
      </x:c>
      <x:c r="AB12" s="34" t="str">
        <x:v>Prior-year macro + market signals; annual rebalance at start of year.</x:v>
      </x:c>
    </x:row>
    <x:row r="13">
      <x:c r="A13" s="32" t="n">
        <x:v>2009</x:v>
      </x:c>
      <x:c r="B13" s="112" t="n">
        <x:f>Data!H15</x:f>
        <x:v>0.014</x:v>
      </x:c>
      <x:c r="C13" s="112" t="n">
        <x:f>Data!H14</x:f>
        <x:v>0.0448</x:v>
      </x:c>
      <x:c r="D13" s="113" t="n">
        <x:f>IF(B13&lt;C13-0.0025,1,IF(B13&gt;C13+0.0025,-1,0))</x:f>
        <x:v>1</x:v>
      </x:c>
      <x:c r="E13" s="112" t="n">
        <x:f>Data!J15</x:f>
        <x:v>96.94</x:v>
      </x:c>
      <x:c r="F13" s="112" t="n">
        <x:f>Data!J14</x:f>
        <x:v>72.44</x:v>
      </x:c>
      <x:c r="G13" s="113" t="n">
        <x:f>IF(E13&lt;F13*0.9,1,IF(E13&gt;F13*1.15,-1,0))</x:f>
        <x:v>-1</x:v>
      </x:c>
      <x:c r="H13" s="112" t="n">
        <x:f>Data!B15</x:f>
        <x:v>-0.3655</x:v>
      </x:c>
      <x:c r="I13" s="113" t="n">
        <x:f>IF(H13&gt;0.10,1,IF(H13&lt;0,-1,0))</x:f>
        <x:v>-1</x:v>
      </x:c>
      <x:c r="J13" s="112" t="n">
        <x:f>Data!E15-Data!D15</x:f>
        <x:v>-0.2354</x:v>
      </x:c>
      <x:c r="K13" s="113" t="n">
        <x:f>IF(J13&gt;0.01,1,IF(J13&lt;-0.01,-1,0))</x:f>
        <x:v>-1</x:v>
      </x:c>
      <x:c r="L13" s="113" t="n">
        <x:f>SUM(D13,G13,I13,K13)</x:f>
        <x:v>-2</x:v>
      </x:c>
      <x:c r="M13" s="113" t="str">
        <x:f>IF(L13&gt;=2,"Risk-on",IF(L13&gt;=1,"Growth",IF(L13&gt;=0,"Balanced","Defensive")))</x:f>
        <x:v>Defensive</x:v>
      </x:c>
      <x:c r="N13" s="112" t="n">
        <x:f>IF(M13="Risk-on",0.35,IF(M13="Growth",0.3,IF(M13="Balanced",0.2,0.1)))</x:f>
        <x:v>0.1</x:v>
      </x:c>
      <x:c r="O13" s="112" t="n">
        <x:f>IF(M13="Risk-on",0.1,IF(M13="Growth",0.1,IF(M13="Balanced",0.05,0.0)))</x:f>
        <x:v>0</x:v>
      </x:c>
      <x:c r="P13" s="112" t="n">
        <x:f>IF(M13="Risk-on",0.1,IF(M13="Growth",0.15,IF(M13="Balanced",0.2,0.25)))</x:f>
        <x:v>0.25</x:v>
      </x:c>
      <x:c r="Q13" s="112" t="n">
        <x:f>IF(M13="Risk-on",0.1,IF(M13="Growth",0.1,IF(M13="Balanced",0.15,0.2)))</x:f>
        <x:v>0.2</x:v>
      </x:c>
      <x:c r="R13" s="112" t="n">
        <x:f>IF(M13="Risk-on",0.1,IF(M13="Growth",0.1,IF(M13="Balanced",0.15,0.2)))</x:f>
        <x:v>0.2</x:v>
      </x:c>
      <x:c r="S13" s="112" t="n">
        <x:f>IF(M13="Risk-on",0.1,IF(M13="Growth",0.1,IF(M13="Balanced",0.15,0.2)))</x:f>
        <x:v>0.2</x:v>
      </x:c>
      <x:c r="T13" s="112" t="n">
        <x:f>IF(M13="Risk-on",0.15,IF(M13="Growth",0.15,IF(M13="Balanced",0.1,0.05)))</x:f>
        <x:v>0.05</x:v>
      </x:c>
      <x:c r="U13" s="114" t="n">
        <x:f>SUMPRODUCT(N13:T13,Data!B16:H16)</x:f>
        <x:v>0.08051500000000002</x:v>
      </x:c>
      <x:c r="V13" s="114" t="n">
        <x:f>Data!B16</x:f>
        <x:v>0.2594</x:v>
      </x:c>
      <x:c r="W13" s="114" t="n">
        <x:f>Data!H16</x:f>
        <x:v>0.0015</x:v>
      </x:c>
      <x:c r="X13" s="112" t="n">
        <x:f>X12*(1+U13)</x:f>
        <x:v>1.5790751207844576</x:v>
      </x:c>
      <x:c r="Y13" s="112" t="n">
        <x:f>Y12*(1+V13)</x:f>
        <x:v>0.9085791561161868</x:v>
      </x:c>
      <x:c r="Z13" s="112" t="n">
        <x:f>X13/MAX($X$4:X13)-1</x:f>
        <x:v>0</x:v>
      </x:c>
      <x:c r="AA13" s="36" t="n">
        <x:f>Y13/MAX($Y$4:Y13)-1</x:f>
        <x:v>-0.20091069999999978</x:v>
      </x:c>
      <x:c r="AB13" s="34" t="str">
        <x:v>Prior-year macro + market signals; annual rebalance at start of year.</x:v>
      </x:c>
    </x:row>
    <x:row r="14">
      <x:c r="A14" s="32" t="n">
        <x:v>2010</x:v>
      </x:c>
      <x:c r="B14" s="112" t="n">
        <x:f>Data!H16</x:f>
        <x:v>0.0015</x:v>
      </x:c>
      <x:c r="C14" s="112" t="n">
        <x:f>Data!H15</x:f>
        <x:v>0.014</x:v>
      </x:c>
      <x:c r="D14" s="113" t="n">
        <x:f>IF(B14&lt;C14-0.0025,1,IF(B14&gt;C14+0.0025,-1,0))</x:f>
        <x:v>1</x:v>
      </x:c>
      <x:c r="E14" s="112" t="n">
        <x:f>Data!J16</x:f>
        <x:v>61.74</x:v>
      </x:c>
      <x:c r="F14" s="112" t="n">
        <x:f>Data!J15</x:f>
        <x:v>96.94</x:v>
      </x:c>
      <x:c r="G14" s="113" t="n">
        <x:f>IF(E14&lt;F14*0.9,1,IF(E14&gt;F14*1.15,-1,0))</x:f>
        <x:v>1</x:v>
      </x:c>
      <x:c r="H14" s="112" t="n">
        <x:f>Data!B16</x:f>
        <x:v>0.2594</x:v>
      </x:c>
      <x:c r="I14" s="113" t="n">
        <x:f>IF(H14&gt;0.10,1,IF(H14&lt;0,-1,0))</x:f>
        <x:v>1</x:v>
      </x:c>
      <x:c r="J14" s="112" t="n">
        <x:f>Data!E16-Data!D16</x:f>
        <x:v>0.31079999999999997</x:v>
      </x:c>
      <x:c r="K14" s="113" t="n">
        <x:f>IF(J14&gt;0.01,1,IF(J14&lt;-0.01,-1,0))</x:f>
        <x:v>1</x:v>
      </x:c>
      <x:c r="L14" s="113" t="n">
        <x:f>SUM(D14,G14,I14,K14)</x:f>
        <x:v>4</x:v>
      </x:c>
      <x:c r="M14" s="113" t="str">
        <x:f>IF(L14&gt;=2,"Risk-on",IF(L14&gt;=1,"Growth",IF(L14&gt;=0,"Balanced","Defensive")))</x:f>
        <x:v>Risk-on</x:v>
      </x:c>
      <x:c r="N14" s="112" t="n">
        <x:f>IF(M14="Risk-on",0.35,IF(M14="Growth",0.3,IF(M14="Balanced",0.2,0.1)))</x:f>
        <x:v>0.35</x:v>
      </x:c>
      <x:c r="O14" s="112" t="n">
        <x:f>IF(M14="Risk-on",0.1,IF(M14="Growth",0.1,IF(M14="Balanced",0.05,0.0)))</x:f>
        <x:v>0.1</x:v>
      </x:c>
      <x:c r="P14" s="112" t="n">
        <x:f>IF(M14="Risk-on",0.1,IF(M14="Growth",0.15,IF(M14="Balanced",0.2,0.25)))</x:f>
        <x:v>0.1</x:v>
      </x:c>
      <x:c r="Q14" s="112" t="n">
        <x:f>IF(M14="Risk-on",0.1,IF(M14="Growth",0.1,IF(M14="Balanced",0.15,0.2)))</x:f>
        <x:v>0.1</x:v>
      </x:c>
      <x:c r="R14" s="112" t="n">
        <x:f>IF(M14="Risk-on",0.1,IF(M14="Growth",0.1,IF(M14="Balanced",0.15,0.2)))</x:f>
        <x:v>0.1</x:v>
      </x:c>
      <x:c r="S14" s="112" t="n">
        <x:f>IF(M14="Risk-on",0.1,IF(M14="Growth",0.1,IF(M14="Balanced",0.15,0.2)))</x:f>
        <x:v>0.1</x:v>
      </x:c>
      <x:c r="T14" s="112" t="n">
        <x:f>IF(M14="Risk-on",0.15,IF(M14="Growth",0.15,IF(M14="Balanced",0.1,0.05)))</x:f>
        <x:v>0.15</x:v>
      </x:c>
      <x:c r="U14" s="114" t="n">
        <x:f>SUMPRODUCT(N14:T14,Data!B17:H17)</x:f>
        <x:v>0.12279000000000001</x:v>
      </x:c>
      <x:c r="V14" s="114" t="n">
        <x:f>Data!B17</x:f>
        <x:v>0.1482</x:v>
      </x:c>
      <x:c r="W14" s="114" t="n">
        <x:f>Data!H17</x:f>
        <x:v>0.0014</x:v>
      </x:c>
      <x:c r="X14" s="112" t="n">
        <x:f>X13*(1+U14)</x:f>
        <x:v>1.772969754865581</x:v>
      </x:c>
      <x:c r="Y14" s="112" t="n">
        <x:f>Y13*(1+V14)</x:f>
        <x:v>1.0432305870526057</x:v>
      </x:c>
      <x:c r="Z14" s="112" t="n">
        <x:f>X14/MAX($X$4:X14)-1</x:f>
        <x:v>0</x:v>
      </x:c>
      <x:c r="AA14" s="36" t="n">
        <x:f>Y14/MAX($Y$4:Y14)-1</x:f>
        <x:v>-0.08248566573999971</x:v>
      </x:c>
      <x:c r="AB14" s="34" t="str">
        <x:v>Prior-year macro + market signals; annual rebalance at start of year.</x:v>
      </x:c>
    </x:row>
    <x:row r="15">
      <x:c r="A15" s="32" t="n">
        <x:v>2011</x:v>
      </x:c>
      <x:c r="B15" s="112" t="n">
        <x:f>Data!H17</x:f>
        <x:v>0.0014</x:v>
      </x:c>
      <x:c r="C15" s="112" t="n">
        <x:f>Data!H16</x:f>
        <x:v>0.0015</x:v>
      </x:c>
      <x:c r="D15" s="113" t="n">
        <x:f>IF(B15&lt;C15-0.0025,1,IF(B15&gt;C15+0.0025,-1,0))</x:f>
        <x:v>0</x:v>
      </x:c>
      <x:c r="E15" s="112" t="n">
        <x:f>Data!J17</x:f>
        <x:v>79.61</x:v>
      </x:c>
      <x:c r="F15" s="112" t="n">
        <x:f>Data!J16</x:f>
        <x:v>61.74</x:v>
      </x:c>
      <x:c r="G15" s="113" t="n">
        <x:f>IF(E15&lt;F15*0.9,1,IF(E15&gt;F15*1.15,-1,0))</x:f>
        <x:v>-1</x:v>
      </x:c>
      <x:c r="H15" s="112" t="n">
        <x:f>Data!B17</x:f>
        <x:v>0.1482</x:v>
      </x:c>
      <x:c r="I15" s="113" t="n">
        <x:f>IF(H15&gt;0.10,1,IF(H15&lt;0,-1,0))</x:f>
        <x:v>1</x:v>
      </x:c>
      <x:c r="J15" s="112" t="n">
        <x:f>Data!E17-Data!D17</x:f>
        <x:v>0.009400000000000006</x:v>
      </x:c>
      <x:c r="K15" s="113" t="n">
        <x:f>IF(J15&gt;0.01,1,IF(J15&lt;-0.01,-1,0))</x:f>
        <x:v>0</x:v>
      </x:c>
      <x:c r="L15" s="113" t="n">
        <x:f>SUM(D15,G15,I15,K15)</x:f>
        <x:v>0</x:v>
      </x:c>
      <x:c r="M15" s="113" t="str">
        <x:f>IF(L15&gt;=2,"Risk-on",IF(L15&gt;=1,"Growth",IF(L15&gt;=0,"Balanced","Defensive")))</x:f>
        <x:v>Balanced</x:v>
      </x:c>
      <x:c r="N15" s="112" t="n">
        <x:f>IF(M15="Risk-on",0.35,IF(M15="Growth",0.3,IF(M15="Balanced",0.2,0.1)))</x:f>
        <x:v>0.2</x:v>
      </x:c>
      <x:c r="O15" s="112" t="n">
        <x:f>IF(M15="Risk-on",0.1,IF(M15="Growth",0.1,IF(M15="Balanced",0.05,0.0)))</x:f>
        <x:v>0.05</x:v>
      </x:c>
      <x:c r="P15" s="112" t="n">
        <x:f>IF(M15="Risk-on",0.1,IF(M15="Growth",0.15,IF(M15="Balanced",0.2,0.25)))</x:f>
        <x:v>0.2</x:v>
      </x:c>
      <x:c r="Q15" s="112" t="n">
        <x:f>IF(M15="Risk-on",0.1,IF(M15="Growth",0.1,IF(M15="Balanced",0.15,0.2)))</x:f>
        <x:v>0.15</x:v>
      </x:c>
      <x:c r="R15" s="112" t="n">
        <x:f>IF(M15="Risk-on",0.1,IF(M15="Growth",0.1,IF(M15="Balanced",0.15,0.2)))</x:f>
        <x:v>0.15</x:v>
      </x:c>
      <x:c r="S15" s="112" t="n">
        <x:f>IF(M15="Risk-on",0.1,IF(M15="Growth",0.1,IF(M15="Balanced",0.15,0.2)))</x:f>
        <x:v>0.15</x:v>
      </x:c>
      <x:c r="T15" s="112" t="n">
        <x:f>IF(M15="Risk-on",0.15,IF(M15="Growth",0.15,IF(M15="Balanced",0.1,0.05)))</x:f>
        <x:v>0.1</x:v>
      </x:c>
      <x:c r="U15" s="114" t="n">
        <x:f>SUMPRODUCT(N15:T15,Data!B18:H18)</x:f>
        <x:v>0.059895</x:v>
      </x:c>
      <x:c r="V15" s="114" t="n">
        <x:f>Data!B18</x:f>
        <x:v>0.021</x:v>
      </x:c>
      <x:c r="W15" s="114" t="n">
        <x:f>Data!H18</x:f>
        <x:v>0.0005</x:v>
      </x:c>
      <x:c r="X15" s="112" t="n">
        <x:f>X14*(1+U15)</x:f>
        <x:v>1.879161778333255</x:v>
      </x:c>
      <x:c r="Y15" s="112" t="n">
        <x:f>Y14*(1+V15)</x:f>
        <x:v>1.0651384293807105</x:v>
      </x:c>
      <x:c r="Z15" s="112" t="n">
        <x:f>X15/MAX($X$4:X15)-1</x:f>
        <x:v>0</x:v>
      </x:c>
      <x:c r="AA15" s="36" t="n">
        <x:f>Y15/MAX($Y$4:Y15)-1</x:f>
        <x:v>-0.0632178647205397</x:v>
      </x:c>
      <x:c r="AB15" s="34" t="str">
        <x:v>Prior-year macro + market signals; annual rebalance at start of year.</x:v>
      </x:c>
    </x:row>
    <x:row r="16">
      <x:c r="A16" s="32" t="n">
        <x:v>2012</x:v>
      </x:c>
      <x:c r="B16" s="112" t="n">
        <x:f>Data!H18</x:f>
        <x:v>0.0005</x:v>
      </x:c>
      <x:c r="C16" s="112" t="n">
        <x:f>Data!H17</x:f>
        <x:v>0.0014</x:v>
      </x:c>
      <x:c r="D16" s="113" t="n">
        <x:f>IF(B16&lt;C16-0.0025,1,IF(B16&gt;C16+0.0025,-1,0))</x:f>
        <x:v>0</x:v>
      </x:c>
      <x:c r="E16" s="112" t="n">
        <x:f>Data!J18</x:f>
        <x:v>111.26</x:v>
      </x:c>
      <x:c r="F16" s="112" t="n">
        <x:f>Data!J17</x:f>
        <x:v>79.61</x:v>
      </x:c>
      <x:c r="G16" s="113" t="n">
        <x:f>IF(E16&lt;F16*0.9,1,IF(E16&gt;F16*1.15,-1,0))</x:f>
        <x:v>-1</x:v>
      </x:c>
      <x:c r="H16" s="112" t="n">
        <x:f>Data!B18</x:f>
        <x:v>0.021</x:v>
      </x:c>
      <x:c r="I16" s="113" t="n">
        <x:f>IF(H16&gt;0.10,1,IF(H16&lt;0,-1,0))</x:f>
        <x:v>0</x:v>
      </x:c>
      <x:c r="J16" s="112" t="n">
        <x:f>Data!E18-Data!D18</x:f>
        <x:v>-0.037799999999999986</x:v>
      </x:c>
      <x:c r="K16" s="113" t="n">
        <x:f>IF(J16&gt;0.01,1,IF(J16&lt;-0.01,-1,0))</x:f>
        <x:v>-1</x:v>
      </x:c>
      <x:c r="L16" s="113" t="n">
        <x:f>SUM(D16,G16,I16,K16)</x:f>
        <x:v>-2</x:v>
      </x:c>
      <x:c r="M16" s="113" t="str">
        <x:f>IF(L16&gt;=2,"Risk-on",IF(L16&gt;=1,"Growth",IF(L16&gt;=0,"Balanced","Defensive")))</x:f>
        <x:v>Defensive</x:v>
      </x:c>
      <x:c r="N16" s="112" t="n">
        <x:f>IF(M16="Risk-on",0.35,IF(M16="Growth",0.3,IF(M16="Balanced",0.2,0.1)))</x:f>
        <x:v>0.1</x:v>
      </x:c>
      <x:c r="O16" s="112" t="n">
        <x:f>IF(M16="Risk-on",0.1,IF(M16="Growth",0.1,IF(M16="Balanced",0.05,0.0)))</x:f>
        <x:v>0</x:v>
      </x:c>
      <x:c r="P16" s="112" t="n">
        <x:f>IF(M16="Risk-on",0.1,IF(M16="Growth",0.15,IF(M16="Balanced",0.2,0.25)))</x:f>
        <x:v>0.25</x:v>
      </x:c>
      <x:c r="Q16" s="112" t="n">
        <x:f>IF(M16="Risk-on",0.1,IF(M16="Growth",0.1,IF(M16="Balanced",0.15,0.2)))</x:f>
        <x:v>0.2</x:v>
      </x:c>
      <x:c r="R16" s="112" t="n">
        <x:f>IF(M16="Risk-on",0.1,IF(M16="Growth",0.1,IF(M16="Balanced",0.15,0.2)))</x:f>
        <x:v>0.2</x:v>
      </x:c>
      <x:c r="S16" s="112" t="n">
        <x:f>IF(M16="Risk-on",0.1,IF(M16="Growth",0.1,IF(M16="Balanced",0.15,0.2)))</x:f>
        <x:v>0.2</x:v>
      </x:c>
      <x:c r="T16" s="112" t="n">
        <x:f>IF(M16="Risk-on",0.15,IF(M16="Growth",0.15,IF(M16="Balanced",0.1,0.05)))</x:f>
        <x:v>0.05</x:v>
      </x:c>
      <x:c r="U16" s="114" t="n">
        <x:f>SUMPRODUCT(N16:T16,Data!B19:H19)</x:f>
        <x:v>0.0664</x:v>
      </x:c>
      <x:c r="V16" s="114" t="n">
        <x:f>Data!B19</x:f>
        <x:v>0.1589</x:v>
      </x:c>
      <x:c r="W16" s="114" t="n">
        <x:f>Data!H19</x:f>
        <x:v>0.0009</x:v>
      </x:c>
      <x:c r="X16" s="112" t="n">
        <x:f>X15*(1+U16)</x:f>
        <x:v>2.0039381204145834</x:v>
      </x:c>
      <x:c r="Y16" s="112" t="n">
        <x:f>Y15*(1+V16)</x:f>
        <x:v>1.2343889258093055</x:v>
      </x:c>
      <x:c r="Z16" s="112" t="n">
        <x:f>X16/MAX($X$4:X16)-1</x:f>
        <x:v>0</x:v>
      </x:c>
      <x:c r="AA16" s="36" t="n">
        <x:f>Y16/MAX($Y$4:Y16)-1</x:f>
        <x:v>0</x:v>
      </x:c>
      <x:c r="AB16" s="34" t="str">
        <x:v>Prior-year macro + market signals; annual rebalance at start of year.</x:v>
      </x:c>
    </x:row>
    <x:row r="17">
      <x:c r="A17" s="32" t="n">
        <x:v>2013</x:v>
      </x:c>
      <x:c r="B17" s="112" t="n">
        <x:f>Data!H19</x:f>
        <x:v>0.0009</x:v>
      </x:c>
      <x:c r="C17" s="112" t="n">
        <x:f>Data!H18</x:f>
        <x:v>0.0005</x:v>
      </x:c>
      <x:c r="D17" s="113" t="n">
        <x:f>IF(B17&lt;C17-0.0025,1,IF(B17&gt;C17+0.0025,-1,0))</x:f>
        <x:v>0</x:v>
      </x:c>
      <x:c r="E17" s="112" t="n">
        <x:f>Data!J19</x:f>
        <x:v>111.63</x:v>
      </x:c>
      <x:c r="F17" s="112" t="n">
        <x:f>Data!J18</x:f>
        <x:v>111.26</x:v>
      </x:c>
      <x:c r="G17" s="113" t="n">
        <x:f>IF(E17&lt;F17*0.9,1,IF(E17&gt;F17*1.15,-1,0))</x:f>
        <x:v>0</x:v>
      </x:c>
      <x:c r="H17" s="112" t="n">
        <x:f>Data!B19</x:f>
        <x:v>0.1589</x:v>
      </x:c>
      <x:c r="I17" s="113" t="n">
        <x:f>IF(H17&gt;0.10,1,IF(H17&lt;0,-1,0))</x:f>
        <x:v>1</x:v>
      </x:c>
      <x:c r="J17" s="112" t="n">
        <x:f>Data!E19-Data!D19</x:f>
        <x:v>0.0643</x:v>
      </x:c>
      <x:c r="K17" s="113" t="n">
        <x:f>IF(J17&gt;0.01,1,IF(J17&lt;-0.01,-1,0))</x:f>
        <x:v>1</x:v>
      </x:c>
      <x:c r="L17" s="113" t="n">
        <x:f>SUM(D17,G17,I17,K17)</x:f>
        <x:v>2</x:v>
      </x:c>
      <x:c r="M17" s="113" t="str">
        <x:f>IF(L17&gt;=2,"Risk-on",IF(L17&gt;=1,"Growth",IF(L17&gt;=0,"Balanced","Defensive")))</x:f>
        <x:v>Risk-on</x:v>
      </x:c>
      <x:c r="N17" s="112" t="n">
        <x:f>IF(M17="Risk-on",0.35,IF(M17="Growth",0.3,IF(M17="Balanced",0.2,0.1)))</x:f>
        <x:v>0.35</x:v>
      </x:c>
      <x:c r="O17" s="112" t="n">
        <x:f>IF(M17="Risk-on",0.1,IF(M17="Growth",0.1,IF(M17="Balanced",0.05,0.0)))</x:f>
        <x:v>0.1</x:v>
      </x:c>
      <x:c r="P17" s="112" t="n">
        <x:f>IF(M17="Risk-on",0.1,IF(M17="Growth",0.15,IF(M17="Balanced",0.2,0.25)))</x:f>
        <x:v>0.1</x:v>
      </x:c>
      <x:c r="Q17" s="112" t="n">
        <x:f>IF(M17="Risk-on",0.1,IF(M17="Growth",0.1,IF(M17="Balanced",0.15,0.2)))</x:f>
        <x:v>0.1</x:v>
      </x:c>
      <x:c r="R17" s="112" t="n">
        <x:f>IF(M17="Risk-on",0.1,IF(M17="Growth",0.1,IF(M17="Balanced",0.15,0.2)))</x:f>
        <x:v>0.1</x:v>
      </x:c>
      <x:c r="S17" s="112" t="n">
        <x:f>IF(M17="Risk-on",0.1,IF(M17="Growth",0.1,IF(M17="Balanced",0.15,0.2)))</x:f>
        <x:v>0.1</x:v>
      </x:c>
      <x:c r="T17" s="112" t="n">
        <x:f>IF(M17="Risk-on",0.15,IF(M17="Growth",0.15,IF(M17="Balanced",0.1,0.05)))</x:f>
        <x:v>0.15</x:v>
      </x:c>
      <x:c r="U17" s="114" t="n">
        <x:f>SUMPRODUCT(N17:T17,Data!B20:H20)</x:f>
        <x:v>0.13579500000000003</x:v>
      </x:c>
      <x:c r="V17" s="114" t="n">
        <x:f>Data!B20</x:f>
        <x:v>0.3215</x:v>
      </x:c>
      <x:c r="W17" s="114" t="n">
        <x:f>Data!H20</x:f>
        <x:v>0.0006</x:v>
      </x:c>
      <x:c r="X17" s="112" t="n">
        <x:f>X16*(1+U17)</x:f>
        <x:v>2.276062897476282</x:v>
      </x:c>
      <x:c r="Y17" s="112" t="n">
        <x:f>Y16*(1+V17)</x:f>
        <x:v>1.6312449654569972</x:v>
      </x:c>
      <x:c r="Z17" s="112" t="n">
        <x:f>X17/MAX($X$4:X17)-1</x:f>
        <x:v>0</x:v>
      </x:c>
      <x:c r="AA17" s="36" t="n">
        <x:f>Y17/MAX($Y$4:Y17)-1</x:f>
        <x:v>0</x:v>
      </x:c>
      <x:c r="AB17" s="34" t="str">
        <x:v>Prior-year macro + market signals; annual rebalance at start of year.</x:v>
      </x:c>
    </x:row>
    <x:row r="18">
      <x:c r="A18" s="32" t="n">
        <x:v>2014</x:v>
      </x:c>
      <x:c r="B18" s="112" t="n">
        <x:f>Data!H20</x:f>
        <x:v>0.0006</x:v>
      </x:c>
      <x:c r="C18" s="112" t="n">
        <x:f>Data!H19</x:f>
        <x:v>0.0009</x:v>
      </x:c>
      <x:c r="D18" s="113" t="n">
        <x:f>IF(B18&lt;C18-0.0025,1,IF(B18&gt;C18+0.0025,-1,0))</x:f>
        <x:v>0</x:v>
      </x:c>
      <x:c r="E18" s="112" t="n">
        <x:f>Data!J20</x:f>
        <x:v>108.56</x:v>
      </x:c>
      <x:c r="F18" s="112" t="n">
        <x:f>Data!J19</x:f>
        <x:v>111.63</x:v>
      </x:c>
      <x:c r="G18" s="113" t="n">
        <x:f>IF(E18&lt;F18*0.9,1,IF(E18&gt;F18*1.15,-1,0))</x:f>
        <x:v>0</x:v>
      </x:c>
      <x:c r="H18" s="112" t="n">
        <x:f>Data!B20</x:f>
        <x:v>0.3215</x:v>
      </x:c>
      <x:c r="I18" s="113" t="n">
        <x:f>IF(H18&gt;0.10,1,IF(H18&lt;0,-1,0))</x:f>
        <x:v>1</x:v>
      </x:c>
      <x:c r="J18" s="112" t="n">
        <x:f>Data!E20-Data!D20</x:f>
        <x:v>0.0797</x:v>
      </x:c>
      <x:c r="K18" s="113" t="n">
        <x:f>IF(J18&gt;0.01,1,IF(J18&lt;-0.01,-1,0))</x:f>
        <x:v>1</x:v>
      </x:c>
      <x:c r="L18" s="113" t="n">
        <x:f>SUM(D18,G18,I18,K18)</x:f>
        <x:v>2</x:v>
      </x:c>
      <x:c r="M18" s="113" t="str">
        <x:f>IF(L18&gt;=2,"Risk-on",IF(L18&gt;=1,"Growth",IF(L18&gt;=0,"Balanced","Defensive")))</x:f>
        <x:v>Risk-on</x:v>
      </x:c>
      <x:c r="N18" s="112" t="n">
        <x:f>IF(M18="Risk-on",0.35,IF(M18="Growth",0.3,IF(M18="Balanced",0.2,0.1)))</x:f>
        <x:v>0.35</x:v>
      </x:c>
      <x:c r="O18" s="112" t="n">
        <x:f>IF(M18="Risk-on",0.1,IF(M18="Growth",0.1,IF(M18="Balanced",0.05,0.0)))</x:f>
        <x:v>0.1</x:v>
      </x:c>
      <x:c r="P18" s="112" t="n">
        <x:f>IF(M18="Risk-on",0.1,IF(M18="Growth",0.15,IF(M18="Balanced",0.2,0.25)))</x:f>
        <x:v>0.1</x:v>
      </x:c>
      <x:c r="Q18" s="112" t="n">
        <x:f>IF(M18="Risk-on",0.1,IF(M18="Growth",0.1,IF(M18="Balanced",0.15,0.2)))</x:f>
        <x:v>0.1</x:v>
      </x:c>
      <x:c r="R18" s="112" t="n">
        <x:f>IF(M18="Risk-on",0.1,IF(M18="Growth",0.1,IF(M18="Balanced",0.15,0.2)))</x:f>
        <x:v>0.1</x:v>
      </x:c>
      <x:c r="S18" s="112" t="n">
        <x:f>IF(M18="Risk-on",0.1,IF(M18="Growth",0.1,IF(M18="Balanced",0.15,0.2)))</x:f>
        <x:v>0.1</x:v>
      </x:c>
      <x:c r="T18" s="112" t="n">
        <x:f>IF(M18="Risk-on",0.15,IF(M18="Growth",0.15,IF(M18="Balanced",0.1,0.05)))</x:f>
        <x:v>0.15</x:v>
      </x:c>
      <x:c r="U18" s="114" t="n">
        <x:f>SUMPRODUCT(N18:T18,Data!B21:H21)</x:f>
        <x:v>0.075015</x:v>
      </x:c>
      <x:c r="V18" s="114" t="n">
        <x:f>Data!B21</x:f>
        <x:v>0.1352</x:v>
      </x:c>
      <x:c r="W18" s="114" t="n">
        <x:f>Data!H21</x:f>
        <x:v>0.0003</x:v>
      </x:c>
      <x:c r="X18" s="112" t="n">
        <x:f>X17*(1+U18)</x:f>
        <x:v>2.4468017557304655</x:v>
      </x:c>
      <x:c r="Y18" s="112" t="n">
        <x:f>Y17*(1+V18)</x:f>
        <x:v>1.8517892847867832</x:v>
      </x:c>
      <x:c r="Z18" s="112" t="n">
        <x:f>X18/MAX($X$4:X18)-1</x:f>
        <x:v>0</x:v>
      </x:c>
      <x:c r="AA18" s="36" t="n">
        <x:f>Y18/MAX($Y$4:Y18)-1</x:f>
        <x:v>0</x:v>
      </x:c>
      <x:c r="AB18" s="34" t="str">
        <x:v>Prior-year macro + market signals; annual rebalance at start of year.</x:v>
      </x:c>
    </x:row>
    <x:row r="19">
      <x:c r="A19" s="32" t="n">
        <x:v>2015</x:v>
      </x:c>
      <x:c r="B19" s="112" t="n">
        <x:f>Data!H21</x:f>
        <x:v>0.0003</x:v>
      </x:c>
      <x:c r="C19" s="112" t="n">
        <x:f>Data!H20</x:f>
        <x:v>0.0006</x:v>
      </x:c>
      <x:c r="D19" s="113" t="n">
        <x:f>IF(B19&lt;C19-0.0025,1,IF(B19&gt;C19+0.0025,-1,0))</x:f>
        <x:v>0</x:v>
      </x:c>
      <x:c r="E19" s="112" t="n">
        <x:f>Data!J21</x:f>
        <x:v>98.97</x:v>
      </x:c>
      <x:c r="F19" s="112" t="n">
        <x:f>Data!J20</x:f>
        <x:v>108.56</x:v>
      </x:c>
      <x:c r="G19" s="113" t="n">
        <x:f>IF(E19&lt;F19*0.9,1,IF(E19&gt;F19*1.15,-1,0))</x:f>
        <x:v>0</x:v>
      </x:c>
      <x:c r="H19" s="112" t="n">
        <x:f>Data!B21</x:f>
        <x:v>0.1352</x:v>
      </x:c>
      <x:c r="I19" s="113" t="n">
        <x:f>IF(H19&gt;0.10,1,IF(H19&lt;0,-1,0))</x:f>
        <x:v>1</x:v>
      </x:c>
      <x:c r="J19" s="112" t="n">
        <x:f>Data!E21-Data!D21</x:f>
        <x:v>0</x:v>
      </x:c>
      <x:c r="K19" s="113" t="n">
        <x:f>IF(J19&gt;0.01,1,IF(J19&lt;-0.01,-1,0))</x:f>
        <x:v>0</x:v>
      </x:c>
      <x:c r="L19" s="113" t="n">
        <x:f>SUM(D19,G19,I19,K19)</x:f>
        <x:v>1</x:v>
      </x:c>
      <x:c r="M19" s="113" t="str">
        <x:f>IF(L19&gt;=2,"Risk-on",IF(L19&gt;=1,"Growth",IF(L19&gt;=0,"Balanced","Defensive")))</x:f>
        <x:v>Growth</x:v>
      </x:c>
      <x:c r="N19" s="112" t="n">
        <x:f>IF(M19="Risk-on",0.35,IF(M19="Growth",0.3,IF(M19="Balanced",0.2,0.1)))</x:f>
        <x:v>0.3</x:v>
      </x:c>
      <x:c r="O19" s="112" t="n">
        <x:f>IF(M19="Risk-on",0.1,IF(M19="Growth",0.1,IF(M19="Balanced",0.05,0.0)))</x:f>
        <x:v>0.1</x:v>
      </x:c>
      <x:c r="P19" s="112" t="n">
        <x:f>IF(M19="Risk-on",0.1,IF(M19="Growth",0.15,IF(M19="Balanced",0.2,0.25)))</x:f>
        <x:v>0.15</x:v>
      </x:c>
      <x:c r="Q19" s="112" t="n">
        <x:f>IF(M19="Risk-on",0.1,IF(M19="Growth",0.1,IF(M19="Balanced",0.15,0.2)))</x:f>
        <x:v>0.1</x:v>
      </x:c>
      <x:c r="R19" s="112" t="n">
        <x:f>IF(M19="Risk-on",0.1,IF(M19="Growth",0.1,IF(M19="Balanced",0.15,0.2)))</x:f>
        <x:v>0.1</x:v>
      </x:c>
      <x:c r="S19" s="112" t="n">
        <x:f>IF(M19="Risk-on",0.1,IF(M19="Growth",0.1,IF(M19="Balanced",0.15,0.2)))</x:f>
        <x:v>0.1</x:v>
      </x:c>
      <x:c r="T19" s="112" t="n">
        <x:f>IF(M19="Risk-on",0.15,IF(M19="Growth",0.15,IF(M19="Balanced",0.1,0.05)))</x:f>
        <x:v>0.15</x:v>
      </x:c>
      <x:c r="U19" s="114" t="n">
        <x:f>SUMPRODUCT(N19:T19,Data!B22:H22)</x:f>
        <x:v>-0.011405000000000002</x:v>
      </x:c>
      <x:c r="V19" s="114" t="n">
        <x:f>Data!B22</x:f>
        <x:v>0.0138</x:v>
      </x:c>
      <x:c r="W19" s="114" t="n">
        <x:f>Data!H22</x:f>
        <x:v>0.0005</x:v>
      </x:c>
      <x:c r="X19" s="112" t="n">
        <x:f>X18*(1+U19)</x:f>
        <x:v>2.4188959817063598</x:v>
      </x:c>
      <x:c r="Y19" s="112" t="n">
        <x:f>Y18*(1+V19)</x:f>
        <x:v>1.8773439769168407</x:v>
      </x:c>
      <x:c r="Z19" s="112" t="n">
        <x:f>X19/MAX($X$4:X19)-1</x:f>
        <x:v>-0.011404999999999887</x:v>
      </x:c>
      <x:c r="AA19" s="36" t="n">
        <x:f>Y19/MAX($Y$4:Y19)-1</x:f>
        <x:v>0</x:v>
      </x:c>
      <x:c r="AB19" s="34" t="str">
        <x:v>Prior-year macro + market signals; annual rebalance at start of year.</x:v>
      </x:c>
    </x:row>
    <x:row r="20">
      <x:c r="A20" s="32" t="n">
        <x:v>2016</x:v>
      </x:c>
      <x:c r="B20" s="112" t="n">
        <x:f>Data!H22</x:f>
        <x:v>0.0005</x:v>
      </x:c>
      <x:c r="C20" s="112" t="n">
        <x:f>Data!H21</x:f>
        <x:v>0.0003</x:v>
      </x:c>
      <x:c r="D20" s="113" t="n">
        <x:f>IF(B20&lt;C20-0.0025,1,IF(B20&gt;C20+0.0025,-1,0))</x:f>
        <x:v>0</x:v>
      </x:c>
      <x:c r="E20" s="112" t="n">
        <x:f>Data!J22</x:f>
        <x:v>52.32</x:v>
      </x:c>
      <x:c r="F20" s="112" t="n">
        <x:f>Data!J21</x:f>
        <x:v>98.97</x:v>
      </x:c>
      <x:c r="G20" s="113" t="n">
        <x:f>IF(E20&lt;F20*0.9,1,IF(E20&gt;F20*1.15,-1,0))</x:f>
        <x:v>1</x:v>
      </x:c>
      <x:c r="H20" s="112" t="n">
        <x:f>Data!B22</x:f>
        <x:v>0.0138</x:v>
      </x:c>
      <x:c r="I20" s="113" t="n">
        <x:f>IF(H20&gt;0.10,1,IF(H20&lt;0,-1,0))</x:f>
        <x:v>0</x:v>
      </x:c>
      <x:c r="J20" s="112" t="n">
        <x:f>Data!E22-Data!D22</x:f>
        <x:v>-0.0278</x:v>
      </x:c>
      <x:c r="K20" s="113" t="n">
        <x:f>IF(J20&gt;0.01,1,IF(J20&lt;-0.01,-1,0))</x:f>
        <x:v>-1</x:v>
      </x:c>
      <x:c r="L20" s="113" t="n">
        <x:f>SUM(D20,G20,I20,K20)</x:f>
        <x:v>0</x:v>
      </x:c>
      <x:c r="M20" s="113" t="str">
        <x:f>IF(L20&gt;=2,"Risk-on",IF(L20&gt;=1,"Growth",IF(L20&gt;=0,"Balanced","Defensive")))</x:f>
        <x:v>Balanced</x:v>
      </x:c>
      <x:c r="N20" s="112" t="n">
        <x:f>IF(M20="Risk-on",0.35,IF(M20="Growth",0.3,IF(M20="Balanced",0.2,0.1)))</x:f>
        <x:v>0.2</x:v>
      </x:c>
      <x:c r="O20" s="112" t="n">
        <x:f>IF(M20="Risk-on",0.1,IF(M20="Growth",0.1,IF(M20="Balanced",0.05,0.0)))</x:f>
        <x:v>0.05</x:v>
      </x:c>
      <x:c r="P20" s="112" t="n">
        <x:f>IF(M20="Risk-on",0.1,IF(M20="Growth",0.15,IF(M20="Balanced",0.2,0.25)))</x:f>
        <x:v>0.2</x:v>
      </x:c>
      <x:c r="Q20" s="112" t="n">
        <x:f>IF(M20="Risk-on",0.1,IF(M20="Growth",0.1,IF(M20="Balanced",0.15,0.2)))</x:f>
        <x:v>0.15</x:v>
      </x:c>
      <x:c r="R20" s="112" t="n">
        <x:f>IF(M20="Risk-on",0.1,IF(M20="Growth",0.1,IF(M20="Balanced",0.15,0.2)))</x:f>
        <x:v>0.15</x:v>
      </x:c>
      <x:c r="S20" s="112" t="n">
        <x:f>IF(M20="Risk-on",0.1,IF(M20="Growth",0.1,IF(M20="Balanced",0.15,0.2)))</x:f>
        <x:v>0.15</x:v>
      </x:c>
      <x:c r="T20" s="112" t="n">
        <x:f>IF(M20="Risk-on",0.15,IF(M20="Growth",0.15,IF(M20="Balanced",0.1,0.05)))</x:f>
        <x:v>0.1</x:v>
      </x:c>
      <x:c r="U20" s="114" t="n">
        <x:f>SUMPRODUCT(N20:T20,Data!B23:H23)</x:f>
        <x:v>0.071145</x:v>
      </x:c>
      <x:c r="V20" s="114" t="n">
        <x:f>Data!B23</x:f>
        <x:v>0.1177</x:v>
      </x:c>
      <x:c r="W20" s="114" t="n">
        <x:f>Data!H23</x:f>
        <x:v>0.0032</x:v>
      </x:c>
      <x:c r="X20" s="112" t="n">
        <x:f>X19*(1+U20)</x:f>
        <x:v>2.590988336324859</x:v>
      </x:c>
      <x:c r="Y20" s="112" t="n">
        <x:f>Y19*(1+V20)</x:f>
        <x:v>2.098307362999953</x:v>
      </x:c>
      <x:c r="Z20" s="112" t="n">
        <x:f>X20/MAX($X$4:X20)-1</x:f>
        <x:v>0</x:v>
      </x:c>
      <x:c r="AA20" s="36" t="n">
        <x:f>Y20/MAX($Y$4:Y20)-1</x:f>
        <x:v>0</x:v>
      </x:c>
      <x:c r="AB20" s="34" t="str">
        <x:v>Prior-year macro + market signals; annual rebalance at start of year.</x:v>
      </x:c>
    </x:row>
    <x:row r="21">
      <x:c r="A21" s="32" t="n">
        <x:v>2017</x:v>
      </x:c>
      <x:c r="B21" s="112" t="n">
        <x:f>Data!H23</x:f>
        <x:v>0.0032</x:v>
      </x:c>
      <x:c r="C21" s="112" t="n">
        <x:f>Data!H22</x:f>
        <x:v>0.0005</x:v>
      </x:c>
      <x:c r="D21" s="113" t="n">
        <x:f>IF(B21&lt;C21-0.0025,1,IF(B21&gt;C21+0.0025,-1,0))</x:f>
        <x:v>-1</x:v>
      </x:c>
      <x:c r="E21" s="112" t="n">
        <x:f>Data!J23</x:f>
        <x:v>43.64</x:v>
      </x:c>
      <x:c r="F21" s="112" t="n">
        <x:f>Data!J22</x:f>
        <x:v>52.32</x:v>
      </x:c>
      <x:c r="G21" s="113" t="n">
        <x:f>IF(E21&lt;F21*0.9,1,IF(E21&gt;F21*1.15,-1,0))</x:f>
        <x:v>1</x:v>
      </x:c>
      <x:c r="H21" s="112" t="n">
        <x:f>Data!B23</x:f>
        <x:v>0.1177</x:v>
      </x:c>
      <x:c r="I21" s="113" t="n">
        <x:f>IF(H21&gt;0.10,1,IF(H21&lt;0,-1,0))</x:f>
        <x:v>1</x:v>
      </x:c>
      <x:c r="J21" s="112" t="n">
        <x:f>Data!E23-Data!D23</x:f>
        <x:v>0.1083</x:v>
      </x:c>
      <x:c r="K21" s="113" t="n">
        <x:f>IF(J21&gt;0.01,1,IF(J21&lt;-0.01,-1,0))</x:f>
        <x:v>1</x:v>
      </x:c>
      <x:c r="L21" s="113" t="n">
        <x:f>SUM(D21,G21,I21,K21)</x:f>
        <x:v>2</x:v>
      </x:c>
      <x:c r="M21" s="113" t="str">
        <x:f>IF(L21&gt;=2,"Risk-on",IF(L21&gt;=1,"Growth",IF(L21&gt;=0,"Balanced","Defensive")))</x:f>
        <x:v>Risk-on</x:v>
      </x:c>
      <x:c r="N21" s="112" t="n">
        <x:f>IF(M21="Risk-on",0.35,IF(M21="Growth",0.3,IF(M21="Balanced",0.2,0.1)))</x:f>
        <x:v>0.35</x:v>
      </x:c>
      <x:c r="O21" s="112" t="n">
        <x:f>IF(M21="Risk-on",0.1,IF(M21="Growth",0.1,IF(M21="Balanced",0.05,0.0)))</x:f>
        <x:v>0.1</x:v>
      </x:c>
      <x:c r="P21" s="112" t="n">
        <x:f>IF(M21="Risk-on",0.1,IF(M21="Growth",0.15,IF(M21="Balanced",0.2,0.25)))</x:f>
        <x:v>0.1</x:v>
      </x:c>
      <x:c r="Q21" s="112" t="n">
        <x:f>IF(M21="Risk-on",0.1,IF(M21="Growth",0.1,IF(M21="Balanced",0.15,0.2)))</x:f>
        <x:v>0.1</x:v>
      </x:c>
      <x:c r="R21" s="112" t="n">
        <x:f>IF(M21="Risk-on",0.1,IF(M21="Growth",0.1,IF(M21="Balanced",0.15,0.2)))</x:f>
        <x:v>0.1</x:v>
      </x:c>
      <x:c r="S21" s="112" t="n">
        <x:f>IF(M21="Risk-on",0.1,IF(M21="Growth",0.1,IF(M21="Balanced",0.15,0.2)))</x:f>
        <x:v>0.1</x:v>
      </x:c>
      <x:c r="T21" s="112" t="n">
        <x:f>IF(M21="Risk-on",0.15,IF(M21="Growth",0.15,IF(M21="Balanced",0.1,0.05)))</x:f>
        <x:v>0.15</x:v>
      </x:c>
      <x:c r="U21" s="114" t="n">
        <x:f>SUMPRODUCT(N21:T21,Data!B24:H24)</x:f>
        <x:v>0.12301</x:v>
      </x:c>
      <x:c r="V21" s="114" t="n">
        <x:f>Data!B24</x:f>
        <x:v>0.2161</x:v>
      </x:c>
      <x:c r="W21" s="114" t="n">
        <x:f>Data!H24</x:f>
        <x:v>0.0095</x:v>
      </x:c>
      <x:c r="X21" s="112" t="n">
        <x:f>X20*(1+U21)</x:f>
        <x:v>2.90970581157618</x:v>
      </x:c>
      <x:c r="Y21" s="112" t="n">
        <x:f>Y20*(1+V21)</x:f>
        <x:v>2.5517515841442426</x:v>
      </x:c>
      <x:c r="Z21" s="112" t="n">
        <x:f>X21/MAX($X$4:X21)-1</x:f>
        <x:v>0</x:v>
      </x:c>
      <x:c r="AA21" s="36" t="n">
        <x:f>Y21/MAX($Y$4:Y21)-1</x:f>
        <x:v>0</x:v>
      </x:c>
      <x:c r="AB21" s="34" t="str">
        <x:v>Prior-year macro + market signals; annual rebalance at start of year.</x:v>
      </x:c>
    </x:row>
    <x:row r="22">
      <x:c r="A22" s="32" t="n">
        <x:v>2018</x:v>
      </x:c>
      <x:c r="B22" s="112" t="n">
        <x:f>Data!H24</x:f>
        <x:v>0.0095</x:v>
      </x:c>
      <x:c r="C22" s="112" t="n">
        <x:f>Data!H23</x:f>
        <x:v>0.0032</x:v>
      </x:c>
      <x:c r="D22" s="113" t="n">
        <x:f>IF(B22&lt;C22-0.0025,1,IF(B22&gt;C22+0.0025,-1,0))</x:f>
        <x:v>-1</x:v>
      </x:c>
      <x:c r="E22" s="112" t="n">
        <x:f>Data!J24</x:f>
        <x:v>54.13</x:v>
      </x:c>
      <x:c r="F22" s="112" t="n">
        <x:f>Data!J23</x:f>
        <x:v>43.64</x:v>
      </x:c>
      <x:c r="G22" s="113" t="n">
        <x:f>IF(E22&lt;F22*0.9,1,IF(E22&gt;F22*1.15,-1,0))</x:f>
        <x:v>-1</x:v>
      </x:c>
      <x:c r="H22" s="112" t="n">
        <x:f>Data!B24</x:f>
        <x:v>0.2161</x:v>
      </x:c>
      <x:c r="I22" s="113" t="n">
        <x:f>IF(H22&gt;0.10,1,IF(H22&lt;0,-1,0))</x:f>
        <x:v>1</x:v>
      </x:c>
      <x:c r="J22" s="112" t="n">
        <x:f>Data!E24-Data!D24</x:f>
        <x:v>0.0635</x:v>
      </x:c>
      <x:c r="K22" s="113" t="n">
        <x:f>IF(J22&gt;0.01,1,IF(J22&lt;-0.01,-1,0))</x:f>
        <x:v>1</x:v>
      </x:c>
      <x:c r="L22" s="113" t="n">
        <x:f>SUM(D22,G22,I22,K22)</x:f>
        <x:v>0</x:v>
      </x:c>
      <x:c r="M22" s="113" t="str">
        <x:f>IF(L22&gt;=2,"Risk-on",IF(L22&gt;=1,"Growth",IF(L22&gt;=0,"Balanced","Defensive")))</x:f>
        <x:v>Balanced</x:v>
      </x:c>
      <x:c r="N22" s="112" t="n">
        <x:f>IF(M22="Risk-on",0.35,IF(M22="Growth",0.3,IF(M22="Balanced",0.2,0.1)))</x:f>
        <x:v>0.2</x:v>
      </x:c>
      <x:c r="O22" s="112" t="n">
        <x:f>IF(M22="Risk-on",0.1,IF(M22="Growth",0.1,IF(M22="Balanced",0.05,0.0)))</x:f>
        <x:v>0.05</x:v>
      </x:c>
      <x:c r="P22" s="112" t="n">
        <x:f>IF(M22="Risk-on",0.1,IF(M22="Growth",0.15,IF(M22="Balanced",0.2,0.25)))</x:f>
        <x:v>0.2</x:v>
      </x:c>
      <x:c r="Q22" s="112" t="n">
        <x:f>IF(M22="Risk-on",0.1,IF(M22="Growth",0.1,IF(M22="Balanced",0.15,0.2)))</x:f>
        <x:v>0.15</x:v>
      </x:c>
      <x:c r="R22" s="112" t="n">
        <x:f>IF(M22="Risk-on",0.1,IF(M22="Growth",0.1,IF(M22="Balanced",0.15,0.2)))</x:f>
        <x:v>0.15</x:v>
      </x:c>
      <x:c r="S22" s="112" t="n">
        <x:f>IF(M22="Risk-on",0.1,IF(M22="Growth",0.1,IF(M22="Balanced",0.15,0.2)))</x:f>
        <x:v>0.15</x:v>
      </x:c>
      <x:c r="T22" s="112" t="n">
        <x:f>IF(M22="Risk-on",0.15,IF(M22="Growth",0.15,IF(M22="Balanced",0.1,0.05)))</x:f>
        <x:v>0.1</x:v>
      </x:c>
      <x:c r="U22" s="114" t="n">
        <x:f>SUMPRODUCT(N22:T22,Data!B25:H25)</x:f>
        <x:v>-0.014019999999999998</x:v>
      </x:c>
      <x:c r="V22" s="114" t="n">
        <x:f>Data!B25</x:f>
        <x:v>-0.0423</x:v>
      </x:c>
      <x:c r="W22" s="114" t="n">
        <x:f>Data!H25</x:f>
        <x:v>0.0197</x:v>
      </x:c>
      <x:c r="X22" s="112" t="n">
        <x:f>X21*(1+U22)</x:f>
        <x:v>2.8689117360978815</x:v>
      </x:c>
      <x:c r="Y22" s="112" t="n">
        <x:f>Y21*(1+V22)</x:f>
        <x:v>2.443812492134941</x:v>
      </x:c>
      <x:c r="Z22" s="112" t="n">
        <x:f>X22/MAX($X$4:X22)-1</x:f>
        <x:v>-0.014020000000000032</x:v>
      </x:c>
      <x:c r="AA22" s="36" t="n">
        <x:f>Y22/MAX($Y$4:Y22)-1</x:f>
        <x:v>-0.042300000000000004</x:v>
      </x:c>
      <x:c r="AB22" s="34" t="str">
        <x:v>Prior-year macro + market signals; annual rebalance at start of year.</x:v>
      </x:c>
    </x:row>
    <x:row r="23">
      <x:c r="A23" s="32" t="n">
        <x:v>2019</x:v>
      </x:c>
      <x:c r="B23" s="112" t="n">
        <x:f>Data!H25</x:f>
        <x:v>0.0197</x:v>
      </x:c>
      <x:c r="C23" s="112" t="n">
        <x:f>Data!H24</x:f>
        <x:v>0.0095</x:v>
      </x:c>
      <x:c r="D23" s="113" t="n">
        <x:f>IF(B23&lt;C23-0.0025,1,IF(B23&gt;C23+0.0025,-1,0))</x:f>
        <x:v>-1</x:v>
      </x:c>
      <x:c r="E23" s="112" t="n">
        <x:f>Data!J25</x:f>
        <x:v>71.34</x:v>
      </x:c>
      <x:c r="F23" s="112" t="n">
        <x:f>Data!J24</x:f>
        <x:v>54.13</x:v>
      </x:c>
      <x:c r="G23" s="113" t="n">
        <x:f>IF(E23&lt;F23*0.9,1,IF(E23&gt;F23*1.15,-1,0))</x:f>
        <x:v>-1</x:v>
      </x:c>
      <x:c r="H23" s="112" t="n">
        <x:f>Data!B25</x:f>
        <x:v>-0.0423</x:v>
      </x:c>
      <x:c r="I23" s="113" t="n">
        <x:f>IF(H23&gt;0.10,1,IF(H23&lt;0,-1,0))</x:f>
        <x:v>-1</x:v>
      </x:c>
      <x:c r="J23" s="112" t="n">
        <x:f>Data!E25-Data!D25</x:f>
        <x:v>-0.0316</x:v>
      </x:c>
      <x:c r="K23" s="113" t="n">
        <x:f>IF(J23&gt;0.01,1,IF(J23&lt;-0.01,-1,0))</x:f>
        <x:v>-1</x:v>
      </x:c>
      <x:c r="L23" s="113" t="n">
        <x:f>SUM(D23,G23,I23,K23)</x:f>
        <x:v>-4</x:v>
      </x:c>
      <x:c r="M23" s="113" t="str">
        <x:f>IF(L23&gt;=2,"Risk-on",IF(L23&gt;=1,"Growth",IF(L23&gt;=0,"Balanced","Defensive")))</x:f>
        <x:v>Defensive</x:v>
      </x:c>
      <x:c r="N23" s="112" t="n">
        <x:f>IF(M23="Risk-on",0.35,IF(M23="Growth",0.3,IF(M23="Balanced",0.2,0.1)))</x:f>
        <x:v>0.1</x:v>
      </x:c>
      <x:c r="O23" s="112" t="n">
        <x:f>IF(M23="Risk-on",0.1,IF(M23="Growth",0.1,IF(M23="Balanced",0.05,0.0)))</x:f>
        <x:v>0</x:v>
      </x:c>
      <x:c r="P23" s="112" t="n">
        <x:f>IF(M23="Risk-on",0.1,IF(M23="Growth",0.15,IF(M23="Balanced",0.2,0.25)))</x:f>
        <x:v>0.25</x:v>
      </x:c>
      <x:c r="Q23" s="112" t="n">
        <x:f>IF(M23="Risk-on",0.1,IF(M23="Growth",0.1,IF(M23="Balanced",0.15,0.2)))</x:f>
        <x:v>0.2</x:v>
      </x:c>
      <x:c r="R23" s="112" t="n">
        <x:f>IF(M23="Risk-on",0.1,IF(M23="Growth",0.1,IF(M23="Balanced",0.15,0.2)))</x:f>
        <x:v>0.2</x:v>
      </x:c>
      <x:c r="S23" s="112" t="n">
        <x:f>IF(M23="Risk-on",0.1,IF(M23="Growth",0.1,IF(M23="Balanced",0.15,0.2)))</x:f>
        <x:v>0.2</x:v>
      </x:c>
      <x:c r="T23" s="112" t="n">
        <x:f>IF(M23="Risk-on",0.15,IF(M23="Growth",0.15,IF(M23="Balanced",0.1,0.05)))</x:f>
        <x:v>0.05</x:v>
      </x:c>
      <x:c r="U23" s="114" t="n">
        <x:f>SUMPRODUCT(N23:T23,Data!B26:H26)</x:f>
        <x:v>0.132405</x:v>
      </x:c>
      <x:c r="V23" s="114" t="n">
        <x:f>Data!B26</x:f>
        <x:v>0.3121</x:v>
      </x:c>
      <x:c r="W23" s="114" t="n">
        <x:f>Data!H26</x:f>
        <x:v>0.0211</x:v>
      </x:c>
      <x:c r="X23" s="112" t="n">
        <x:f>X22*(1+U23)</x:f>
        <x:v>3.2487699945159214</x:v>
      </x:c>
      <x:c r="Y23" s="112" t="n">
        <x:f>Y22*(1+V23)</x:f>
        <x:v>3.2065263709302565</x:v>
      </x:c>
      <x:c r="Z23" s="112" t="n">
        <x:f>X23/MAX($X$4:X23)-1</x:f>
        <x:v>0</x:v>
      </x:c>
      <x:c r="AA23" s="36" t="n">
        <x:f>Y23/MAX($Y$4:Y23)-1</x:f>
        <x:v>0</x:v>
      </x:c>
      <x:c r="AB23" s="34" t="str">
        <x:v>Prior-year macro + market signals; annual rebalance at start of year.</x:v>
      </x:c>
    </x:row>
    <x:row r="24">
      <x:c r="A24" s="32" t="n">
        <x:v>2020</x:v>
      </x:c>
      <x:c r="B24" s="112" t="n">
        <x:f>Data!H26</x:f>
        <x:v>0.0211</x:v>
      </x:c>
      <x:c r="C24" s="112" t="n">
        <x:f>Data!H25</x:f>
        <x:v>0.0197</x:v>
      </x:c>
      <x:c r="D24" s="113" t="n">
        <x:f>IF(B24&lt;C24-0.0025,1,IF(B24&gt;C24+0.0025,-1,0))</x:f>
        <x:v>0</x:v>
      </x:c>
      <x:c r="E24" s="112" t="n">
        <x:f>Data!J26</x:f>
        <x:v>64.3</x:v>
      </x:c>
      <x:c r="F24" s="112" t="n">
        <x:f>Data!J25</x:f>
        <x:v>71.34</x:v>
      </x:c>
      <x:c r="G24" s="113" t="n">
        <x:f>IF(E24&lt;F24*0.9,1,IF(E24&gt;F24*1.15,-1,0))</x:f>
        <x:v>0</x:v>
      </x:c>
      <x:c r="H24" s="112" t="n">
        <x:f>Data!B26</x:f>
        <x:v>0.3121</x:v>
      </x:c>
      <x:c r="I24" s="113" t="n">
        <x:f>IF(H24&gt;0.10,1,IF(H24&lt;0,-1,0))</x:f>
        <x:v>1</x:v>
      </x:c>
      <x:c r="J24" s="112" t="n">
        <x:f>Data!E26-Data!D26</x:f>
        <x:v>0.0561</x:v>
      </x:c>
      <x:c r="K24" s="113" t="n">
        <x:f>IF(J24&gt;0.01,1,IF(J24&lt;-0.01,-1,0))</x:f>
        <x:v>1</x:v>
      </x:c>
      <x:c r="L24" s="113" t="n">
        <x:f>SUM(D24,G24,I24,K24)</x:f>
        <x:v>2</x:v>
      </x:c>
      <x:c r="M24" s="113" t="str">
        <x:f>IF(L24&gt;=2,"Risk-on",IF(L24&gt;=1,"Growth",IF(L24&gt;=0,"Balanced","Defensive")))</x:f>
        <x:v>Risk-on</x:v>
      </x:c>
      <x:c r="N24" s="112" t="n">
        <x:f>IF(M24="Risk-on",0.35,IF(M24="Growth",0.3,IF(M24="Balanced",0.2,0.1)))</x:f>
        <x:v>0.35</x:v>
      </x:c>
      <x:c r="O24" s="112" t="n">
        <x:f>IF(M24="Risk-on",0.1,IF(M24="Growth",0.1,IF(M24="Balanced",0.05,0.0)))</x:f>
        <x:v>0.1</x:v>
      </x:c>
      <x:c r="P24" s="112" t="n">
        <x:f>IF(M24="Risk-on",0.1,IF(M24="Growth",0.15,IF(M24="Balanced",0.2,0.25)))</x:f>
        <x:v>0.1</x:v>
      </x:c>
      <x:c r="Q24" s="112" t="n">
        <x:f>IF(M24="Risk-on",0.1,IF(M24="Growth",0.1,IF(M24="Balanced",0.15,0.2)))</x:f>
        <x:v>0.1</x:v>
      </x:c>
      <x:c r="R24" s="112" t="n">
        <x:f>IF(M24="Risk-on",0.1,IF(M24="Growth",0.1,IF(M24="Balanced",0.15,0.2)))</x:f>
        <x:v>0.1</x:v>
      </x:c>
      <x:c r="S24" s="112" t="n">
        <x:f>IF(M24="Risk-on",0.1,IF(M24="Growth",0.1,IF(M24="Balanced",0.15,0.2)))</x:f>
        <x:v>0.1</x:v>
      </x:c>
      <x:c r="T24" s="112" t="n">
        <x:f>IF(M24="Risk-on",0.15,IF(M24="Growth",0.15,IF(M24="Balanced",0.1,0.05)))</x:f>
        <x:v>0.15</x:v>
      </x:c>
      <x:c r="U24" s="114" t="n">
        <x:f>SUMPRODUCT(N24:T24,Data!B27:H27)</x:f>
        <x:v>0.15430000000000002</x:v>
      </x:c>
      <x:c r="V24" s="114" t="n">
        <x:f>Data!B27</x:f>
        <x:v>0.1802</x:v>
      </x:c>
      <x:c r="W24" s="114" t="n">
        <x:f>Data!H27</x:f>
        <x:v>0.0036</x:v>
      </x:c>
      <x:c r="X24" s="112" t="n">
        <x:f>X23*(1+U24)</x:f>
        <x:v>3.7500552046697284</x:v>
      </x:c>
      <x:c r="Y24" s="112" t="n">
        <x:f>Y23*(1+V24)</x:f>
        <x:v>3.7843424229718883</x:v>
      </x:c>
      <x:c r="Z24" s="112" t="n">
        <x:f>X24/MAX($X$4:X24)-1</x:f>
        <x:v>0</x:v>
      </x:c>
      <x:c r="AA24" s="36" t="n">
        <x:f>Y24/MAX($Y$4:Y24)-1</x:f>
        <x:v>0</x:v>
      </x:c>
      <x:c r="AB24" s="34" t="str">
        <x:v>Prior-year macro + market signals; annual rebalance at start of year.</x:v>
      </x:c>
    </x:row>
    <x:row r="25">
      <x:c r="A25" s="32" t="n">
        <x:v>2021</x:v>
      </x:c>
      <x:c r="B25" s="112" t="n">
        <x:f>Data!H27</x:f>
        <x:v>0.0036</x:v>
      </x:c>
      <x:c r="C25" s="112" t="n">
        <x:f>Data!H26</x:f>
        <x:v>0.0211</x:v>
      </x:c>
      <x:c r="D25" s="113" t="n">
        <x:f>IF(B25&lt;C25-0.0025,1,IF(B25&gt;C25+0.0025,-1,0))</x:f>
        <x:v>1</x:v>
      </x:c>
      <x:c r="E25" s="112" t="n">
        <x:f>Data!J27</x:f>
        <x:v>41.96</x:v>
      </x:c>
      <x:c r="F25" s="112" t="n">
        <x:f>Data!J26</x:f>
        <x:v>64.3</x:v>
      </x:c>
      <x:c r="G25" s="113" t="n">
        <x:f>IF(E25&lt;F25*0.9,1,IF(E25&gt;F25*1.15,-1,0))</x:f>
        <x:v>1</x:v>
      </x:c>
      <x:c r="H25" s="112" t="n">
        <x:f>Data!B27</x:f>
        <x:v>0.1802</x:v>
      </x:c>
      <x:c r="I25" s="113" t="n">
        <x:f>IF(H25&gt;0.10,1,IF(H25&lt;0,-1,0))</x:f>
        <x:v>1</x:v>
      </x:c>
      <x:c r="J25" s="112" t="n">
        <x:f>Data!E27-Data!D27</x:f>
        <x:v>-0.007300000000000001</x:v>
      </x:c>
      <x:c r="K25" s="113" t="n">
        <x:f>IF(J25&gt;0.01,1,IF(J25&lt;-0.01,-1,0))</x:f>
        <x:v>0</x:v>
      </x:c>
      <x:c r="L25" s="113" t="n">
        <x:f>SUM(D25,G25,I25,K25)</x:f>
        <x:v>3</x:v>
      </x:c>
      <x:c r="M25" s="113" t="str">
        <x:f>IF(L25&gt;=2,"Risk-on",IF(L25&gt;=1,"Growth",IF(L25&gt;=0,"Balanced","Defensive")))</x:f>
        <x:v>Risk-on</x:v>
      </x:c>
      <x:c r="N25" s="112" t="n">
        <x:f>IF(M25="Risk-on",0.35,IF(M25="Growth",0.3,IF(M25="Balanced",0.2,0.1)))</x:f>
        <x:v>0.35</x:v>
      </x:c>
      <x:c r="O25" s="112" t="n">
        <x:f>IF(M25="Risk-on",0.1,IF(M25="Growth",0.1,IF(M25="Balanced",0.05,0.0)))</x:f>
        <x:v>0.1</x:v>
      </x:c>
      <x:c r="P25" s="112" t="n">
        <x:f>IF(M25="Risk-on",0.1,IF(M25="Growth",0.15,IF(M25="Balanced",0.2,0.25)))</x:f>
        <x:v>0.1</x:v>
      </x:c>
      <x:c r="Q25" s="112" t="n">
        <x:f>IF(M25="Risk-on",0.1,IF(M25="Growth",0.1,IF(M25="Balanced",0.15,0.2)))</x:f>
        <x:v>0.1</x:v>
      </x:c>
      <x:c r="R25" s="112" t="n">
        <x:f>IF(M25="Risk-on",0.1,IF(M25="Growth",0.1,IF(M25="Balanced",0.15,0.2)))</x:f>
        <x:v>0.1</x:v>
      </x:c>
      <x:c r="S25" s="112" t="n">
        <x:f>IF(M25="Risk-on",0.1,IF(M25="Growth",0.1,IF(M25="Balanced",0.15,0.2)))</x:f>
        <x:v>0.1</x:v>
      </x:c>
      <x:c r="T25" s="112" t="n">
        <x:f>IF(M25="Risk-on",0.15,IF(M25="Growth",0.15,IF(M25="Balanced",0.1,0.05)))</x:f>
        <x:v>0.15</x:v>
      </x:c>
      <x:c r="U25" s="114" t="n">
        <x:f>SUMPRODUCT(N25:T25,Data!B28:H28)</x:f>
        <x:v>0.133825</x:v>
      </x:c>
      <x:c r="V25" s="114" t="n">
        <x:f>Data!B28</x:f>
        <x:v>0.2847</x:v>
      </x:c>
      <x:c r="W25" s="114" t="n">
        <x:f>Data!H28</x:f>
        <x:v>0.0004</x:v>
      </x:c>
      <x:c r="X25" s="112" t="n">
        <x:f>X24*(1+U25)</x:f>
        <x:v>4.251906342434655</x:v>
      </x:c>
      <x:c r="Y25" s="112" t="n">
        <x:f>Y24*(1+V25)</x:f>
        <x:v>4.861744710791985</x:v>
      </x:c>
      <x:c r="Z25" s="112" t="n">
        <x:f>X25/MAX($X$4:X25)-1</x:f>
        <x:v>0</x:v>
      </x:c>
      <x:c r="AA25" s="36" t="n">
        <x:f>Y25/MAX($Y$4:Y25)-1</x:f>
        <x:v>0</x:v>
      </x:c>
      <x:c r="AB25" s="34" t="str">
        <x:v>Prior-year macro + market signals; annual rebalance at start of year.</x:v>
      </x:c>
    </x:row>
    <x:row r="26">
      <x:c r="A26" s="32" t="n">
        <x:v>2022</x:v>
      </x:c>
      <x:c r="B26" s="112" t="n">
        <x:f>Data!H28</x:f>
        <x:v>0.0004</x:v>
      </x:c>
      <x:c r="C26" s="112" t="n">
        <x:f>Data!H27</x:f>
        <x:v>0.0036</x:v>
      </x:c>
      <x:c r="D26" s="113" t="n">
        <x:f>IF(B26&lt;C26-0.0025,1,IF(B26&gt;C26+0.0025,-1,0))</x:f>
        <x:v>1</x:v>
      </x:c>
      <x:c r="E26" s="112" t="n">
        <x:f>Data!J28</x:f>
        <x:v>70.86</x:v>
      </x:c>
      <x:c r="F26" s="112" t="n">
        <x:f>Data!J27</x:f>
        <x:v>41.96</x:v>
      </x:c>
      <x:c r="G26" s="113" t="n">
        <x:f>IF(E26&lt;F26*0.9,1,IF(E26&gt;F26*1.15,-1,0))</x:f>
        <x:v>-1</x:v>
      </x:c>
      <x:c r="H26" s="112" t="n">
        <x:f>Data!B28</x:f>
        <x:v>0.2847</x:v>
      </x:c>
      <x:c r="I26" s="113" t="n">
        <x:f>IF(H26&gt;0.10,1,IF(H26&lt;0,-1,0))</x:f>
        <x:v>1</x:v>
      </x:c>
      <x:c r="J26" s="112" t="n">
        <x:f>Data!E28-Data!D28</x:f>
        <x:v>0.054400000000000004</x:v>
      </x:c>
      <x:c r="K26" s="113" t="n">
        <x:f>IF(J26&gt;0.01,1,IF(J26&lt;-0.01,-1,0))</x:f>
        <x:v>1</x:v>
      </x:c>
      <x:c r="L26" s="113" t="n">
        <x:f>SUM(D26,G26,I26,K26)</x:f>
        <x:v>2</x:v>
      </x:c>
      <x:c r="M26" s="113" t="str">
        <x:f>IF(L26&gt;=2,"Risk-on",IF(L26&gt;=1,"Growth",IF(L26&gt;=0,"Balanced","Defensive")))</x:f>
        <x:v>Risk-on</x:v>
      </x:c>
      <x:c r="N26" s="112" t="n">
        <x:f>IF(M26="Risk-on",0.35,IF(M26="Growth",0.3,IF(M26="Balanced",0.2,0.1)))</x:f>
        <x:v>0.35</x:v>
      </x:c>
      <x:c r="O26" s="112" t="n">
        <x:f>IF(M26="Risk-on",0.1,IF(M26="Growth",0.1,IF(M26="Balanced",0.05,0.0)))</x:f>
        <x:v>0.1</x:v>
      </x:c>
      <x:c r="P26" s="112" t="n">
        <x:f>IF(M26="Risk-on",0.1,IF(M26="Growth",0.15,IF(M26="Balanced",0.2,0.25)))</x:f>
        <x:v>0.1</x:v>
      </x:c>
      <x:c r="Q26" s="112" t="n">
        <x:f>IF(M26="Risk-on",0.1,IF(M26="Growth",0.1,IF(M26="Balanced",0.15,0.2)))</x:f>
        <x:v>0.1</x:v>
      </x:c>
      <x:c r="R26" s="112" t="n">
        <x:f>IF(M26="Risk-on",0.1,IF(M26="Growth",0.1,IF(M26="Balanced",0.15,0.2)))</x:f>
        <x:v>0.1</x:v>
      </x:c>
      <x:c r="S26" s="112" t="n">
        <x:f>IF(M26="Risk-on",0.1,IF(M26="Growth",0.1,IF(M26="Balanced",0.15,0.2)))</x:f>
        <x:v>0.1</x:v>
      </x:c>
      <x:c r="T26" s="112" t="n">
        <x:f>IF(M26="Risk-on",0.15,IF(M26="Growth",0.15,IF(M26="Balanced",0.1,0.05)))</x:f>
        <x:v>0.15</x:v>
      </x:c>
      <x:c r="U26" s="114" t="n">
        <x:f>SUMPRODUCT(N26:T26,Data!B29:H29)</x:f>
        <x:v>-0.10976500000000002</x:v>
      </x:c>
      <x:c r="V26" s="114" t="n">
        <x:f>Data!B29</x:f>
        <x:v>-0.1804</x:v>
      </x:c>
      <x:c r="W26" s="114" t="n">
        <x:f>Data!H29</x:f>
        <x:v>0.0209</x:v>
      </x:c>
      <x:c r="X26" s="112" t="n">
        <x:f>X25*(1+U26)</x:f>
        <x:v>3.785195842757315</x:v>
      </x:c>
      <x:c r="Y26" s="112" t="n">
        <x:f>Y25*(1+V26)</x:f>
        <x:v>3.984685964965111</x:v>
      </x:c>
      <x:c r="Z26" s="112" t="n">
        <x:f>X26/MAX($X$4:X26)-1</x:f>
        <x:v>-0.109765</x:v>
      </x:c>
      <x:c r="AA26" s="36" t="n">
        <x:f>Y26/MAX($Y$4:Y26)-1</x:f>
        <x:v>-0.1804</x:v>
      </x:c>
      <x:c r="AB26" s="34" t="str">
        <x:v>Prior-year macro + market signals; annual rebalance at start of year.</x:v>
      </x:c>
    </x:row>
    <x:row r="27">
      <x:c r="A27" s="32" t="n">
        <x:v>2023</x:v>
      </x:c>
      <x:c r="B27" s="112" t="n">
        <x:f>Data!H29</x:f>
        <x:v>0.0209</x:v>
      </x:c>
      <x:c r="C27" s="112" t="n">
        <x:f>Data!H28</x:f>
        <x:v>0.0004</x:v>
      </x:c>
      <x:c r="D27" s="113" t="n">
        <x:f>IF(B27&lt;C27-0.0025,1,IF(B27&gt;C27+0.0025,-1,0))</x:f>
        <x:v>-1</x:v>
      </x:c>
      <x:c r="E27" s="112" t="n">
        <x:f>Data!J29</x:f>
        <x:v>100.93</x:v>
      </x:c>
      <x:c r="F27" s="112" t="n">
        <x:f>Data!J28</x:f>
        <x:v>70.86</x:v>
      </x:c>
      <x:c r="G27" s="113" t="n">
        <x:f>IF(E27&lt;F27*0.9,1,IF(E27&gt;F27*1.15,-1,0))</x:f>
        <x:v>-1</x:v>
      </x:c>
      <x:c r="H27" s="112" t="n">
        <x:f>Data!B29</x:f>
        <x:v>-0.1804</x:v>
      </x:c>
      <x:c r="I27" s="113" t="n">
        <x:f>IF(H27&gt;0.10,1,IF(H27&lt;0,-1,0))</x:f>
        <x:v>-1</x:v>
      </x:c>
      <x:c r="J27" s="112" t="n">
        <x:f>Data!E29-Data!D29</x:f>
        <x:v>0.025999999999999995</x:v>
      </x:c>
      <x:c r="K27" s="113" t="n">
        <x:f>IF(J27&gt;0.01,1,IF(J27&lt;-0.01,-1,0))</x:f>
        <x:v>1</x:v>
      </x:c>
      <x:c r="L27" s="113" t="n">
        <x:f>SUM(D27,G27,I27,K27)</x:f>
        <x:v>-2</x:v>
      </x:c>
      <x:c r="M27" s="113" t="str">
        <x:f>IF(L27&gt;=2,"Risk-on",IF(L27&gt;=1,"Growth",IF(L27&gt;=0,"Balanced","Defensive")))</x:f>
        <x:v>Defensive</x:v>
      </x:c>
      <x:c r="N27" s="112" t="n">
        <x:f>IF(M27="Risk-on",0.35,IF(M27="Growth",0.3,IF(M27="Balanced",0.2,0.1)))</x:f>
        <x:v>0.1</x:v>
      </x:c>
      <x:c r="O27" s="112" t="n">
        <x:f>IF(M27="Risk-on",0.1,IF(M27="Growth",0.1,IF(M27="Balanced",0.05,0.0)))</x:f>
        <x:v>0</x:v>
      </x:c>
      <x:c r="P27" s="112" t="n">
        <x:f>IF(M27="Risk-on",0.1,IF(M27="Growth",0.15,IF(M27="Balanced",0.2,0.25)))</x:f>
        <x:v>0.25</x:v>
      </x:c>
      <x:c r="Q27" s="112" t="n">
        <x:f>IF(M27="Risk-on",0.1,IF(M27="Growth",0.1,IF(M27="Balanced",0.15,0.2)))</x:f>
        <x:v>0.2</x:v>
      </x:c>
      <x:c r="R27" s="112" t="n">
        <x:f>IF(M27="Risk-on",0.1,IF(M27="Growth",0.1,IF(M27="Balanced",0.15,0.2)))</x:f>
        <x:v>0.2</x:v>
      </x:c>
      <x:c r="S27" s="112" t="n">
        <x:f>IF(M27="Risk-on",0.1,IF(M27="Growth",0.1,IF(M27="Balanced",0.15,0.2)))</x:f>
        <x:v>0.2</x:v>
      </x:c>
      <x:c r="T27" s="112" t="n">
        <x:f>IF(M27="Risk-on",0.15,IF(M27="Growth",0.15,IF(M27="Balanced",0.1,0.05)))</x:f>
        <x:v>0.05</x:v>
      </x:c>
      <x:c r="U27" s="114" t="n">
        <x:f>SUMPRODUCT(N27:T27,Data!B30:H30)</x:f>
        <x:v>0.09376000000000001</x:v>
      </x:c>
      <x:c r="V27" s="114" t="n">
        <x:f>Data!B30</x:f>
        <x:v>0.2606</x:v>
      </x:c>
      <x:c r="W27" s="114" t="n">
        <x:f>Data!H30</x:f>
        <x:v>0.0528</x:v>
      </x:c>
      <x:c r="X27" s="112" t="n">
        <x:f>X26*(1+U27)</x:f>
        <x:v>4.140095804974241</x:v>
      </x:c>
      <x:c r="Y27" s="112" t="n">
        <x:f>Y26*(1+V27)</x:f>
        <x:v>5.023095127435019</x:v>
      </x:c>
      <x:c r="Z27" s="112" t="n">
        <x:f>X27/MAX($X$4:X27)-1</x:f>
        <x:v>-0.0262965664</x:v>
      </x:c>
      <x:c r="AA27" s="36" t="n">
        <x:f>Y27/MAX($Y$4:Y27)-1</x:f>
        <x:v>0</x:v>
      </x:c>
      <x:c r="AB27" s="34" t="str">
        <x:v>Prior-year macro + market signals; annual rebalance at start of year.</x:v>
      </x:c>
    </x:row>
    <x:row r="28">
      <x:c r="A28" s="32" t="n">
        <x:v>2024</x:v>
      </x:c>
      <x:c r="B28" s="112" t="n">
        <x:f>Data!H30</x:f>
        <x:v>0.0528</x:v>
      </x:c>
      <x:c r="C28" s="112" t="n">
        <x:f>Data!H29</x:f>
        <x:v>0.0209</x:v>
      </x:c>
      <x:c r="D28" s="113" t="n">
        <x:f>IF(B28&lt;C28-0.0025,1,IF(B28&gt;C28+0.0025,-1,0))</x:f>
        <x:v>-1</x:v>
      </x:c>
      <x:c r="E28" s="112" t="n">
        <x:f>Data!J30</x:f>
        <x:v>82.49</x:v>
      </x:c>
      <x:c r="F28" s="112" t="n">
        <x:f>Data!J29</x:f>
        <x:v>100.93</x:v>
      </x:c>
      <x:c r="G28" s="113" t="n">
        <x:f>IF(E28&lt;F28*0.9,1,IF(E28&gt;F28*1.15,-1,0))</x:f>
        <x:v>1</x:v>
      </x:c>
      <x:c r="H28" s="112" t="n">
        <x:f>Data!B30</x:f>
        <x:v>0.2606</x:v>
      </x:c>
      <x:c r="I28" s="113" t="n">
        <x:f>IF(H28&gt;0.10,1,IF(H28&lt;0,-1,0))</x:f>
        <x:v>1</x:v>
      </x:c>
      <x:c r="J28" s="112" t="n">
        <x:f>Data!E30-Data!D30</x:f>
        <x:v>0.048600000000000004</x:v>
      </x:c>
      <x:c r="K28" s="113" t="n">
        <x:f>IF(J28&gt;0.01,1,IF(J28&lt;-0.01,-1,0))</x:f>
        <x:v>1</x:v>
      </x:c>
      <x:c r="L28" s="113" t="n">
        <x:f>SUM(D28,G28,I28,K28)</x:f>
        <x:v>2</x:v>
      </x:c>
      <x:c r="M28" s="113" t="str">
        <x:f>IF(L28&gt;=2,"Risk-on",IF(L28&gt;=1,"Growth",IF(L28&gt;=0,"Balanced","Defensive")))</x:f>
        <x:v>Risk-on</x:v>
      </x:c>
      <x:c r="N28" s="112" t="n">
        <x:f>IF(M28="Risk-on",0.35,IF(M28="Growth",0.3,IF(M28="Balanced",0.2,0.1)))</x:f>
        <x:v>0.35</x:v>
      </x:c>
      <x:c r="O28" s="112" t="n">
        <x:f>IF(M28="Risk-on",0.1,IF(M28="Growth",0.1,IF(M28="Balanced",0.05,0.0)))</x:f>
        <x:v>0.1</x:v>
      </x:c>
      <x:c r="P28" s="112" t="n">
        <x:f>IF(M28="Risk-on",0.1,IF(M28="Growth",0.15,IF(M28="Balanced",0.2,0.25)))</x:f>
        <x:v>0.1</x:v>
      </x:c>
      <x:c r="Q28" s="112" t="n">
        <x:f>IF(M28="Risk-on",0.1,IF(M28="Growth",0.1,IF(M28="Balanced",0.15,0.2)))</x:f>
        <x:v>0.1</x:v>
      </x:c>
      <x:c r="R28" s="112" t="n">
        <x:f>IF(M28="Risk-on",0.1,IF(M28="Growth",0.1,IF(M28="Balanced",0.15,0.2)))</x:f>
        <x:v>0.1</x:v>
      </x:c>
      <x:c r="S28" s="112" t="n">
        <x:f>IF(M28="Risk-on",0.1,IF(M28="Growth",0.1,IF(M28="Balanced",0.15,0.2)))</x:f>
        <x:v>0.1</x:v>
      </x:c>
      <x:c r="T28" s="112" t="n">
        <x:f>IF(M28="Risk-on",0.15,IF(M28="Growth",0.15,IF(M28="Balanced",0.1,0.05)))</x:f>
        <x:v>0.15</x:v>
      </x:c>
      <x:c r="U28" s="114" t="n">
        <x:f>SUMPRODUCT(N28:T28,Data!B31:H31)</x:f>
        <x:v>0.13357</x:v>
      </x:c>
      <x:c r="V28" s="114" t="n">
        <x:f>Data!B31</x:f>
        <x:v>0.2488</x:v>
      </x:c>
      <x:c r="W28" s="114" t="n">
        <x:f>Data!H31</x:f>
        <x:v>0.0518</x:v>
      </x:c>
      <x:c r="X28" s="112" t="n">
        <x:f>X27*(1+U28)</x:f>
        <x:v>4.6930884016446495</x:v>
      </x:c>
      <x:c r="Y28" s="112" t="n">
        <x:f>Y27*(1+V28)</x:f>
        <x:v>6.272841195140851</x:v>
      </x:c>
      <x:c r="Z28" s="112" t="n">
        <x:f>X28/MAX($X$4:X28)-1</x:f>
        <x:v>0</x:v>
      </x:c>
      <x:c r="AA28" s="36" t="n">
        <x:f>Y28/MAX($Y$4:Y28)-1</x:f>
        <x:v>0</x:v>
      </x:c>
      <x:c r="AB28" s="34" t="str">
        <x:v>Prior-year macro + market signals; annual rebalance at start of year.</x:v>
      </x:c>
    </x:row>
    <x:row r="29">
      <x:c r="A29" s="32" t="n">
        <x:v>2025</x:v>
      </x:c>
      <x:c r="B29" s="112" t="n">
        <x:f>Data!H31</x:f>
        <x:v>0.0518</x:v>
      </x:c>
      <x:c r="C29" s="112" t="n">
        <x:f>Data!H30</x:f>
        <x:v>0.0528</x:v>
      </x:c>
      <x:c r="D29" s="113" t="n">
        <x:f>IF(B29&lt;C29-0.0025,1,IF(B29&gt;C29+0.0025,-1,0))</x:f>
        <x:v>0</x:v>
      </x:c>
      <x:c r="E29" s="112" t="n">
        <x:f>Data!J31</x:f>
        <x:v>80.52</x:v>
      </x:c>
      <x:c r="F29" s="112" t="n">
        <x:f>Data!J30</x:f>
        <x:v>82.49</x:v>
      </x:c>
      <x:c r="G29" s="113" t="n">
        <x:f>IF(E29&lt;F29*0.9,1,IF(E29&gt;F29*1.15,-1,0))</x:f>
        <x:v>0</x:v>
      </x:c>
      <x:c r="H29" s="112" t="n">
        <x:f>Data!B31</x:f>
        <x:v>0.2488</x:v>
      </x:c>
      <x:c r="I29" s="113" t="n">
        <x:f>IF(H29&gt;0.10,1,IF(H29&lt;0,-1,0))</x:f>
        <x:v>1</x:v>
      </x:c>
      <x:c r="J29" s="112" t="n">
        <x:f>Data!E31-Data!D31</x:f>
        <x:v>0.0338</x:v>
      </x:c>
      <x:c r="K29" s="113" t="n">
        <x:f>IF(J29&gt;0.01,1,IF(J29&lt;-0.01,-1,0))</x:f>
        <x:v>1</x:v>
      </x:c>
      <x:c r="L29" s="113" t="n">
        <x:f>SUM(D29,G29,I29,K29)</x:f>
        <x:v>2</x:v>
      </x:c>
      <x:c r="M29" s="113" t="str">
        <x:f>IF(L29&gt;=2,"Risk-on",IF(L29&gt;=1,"Growth",IF(L29&gt;=0,"Balanced","Defensive")))</x:f>
        <x:v>Risk-on</x:v>
      </x:c>
      <x:c r="N29" s="112" t="n">
        <x:f>IF(M29="Risk-on",0.35,IF(M29="Growth",0.3,IF(M29="Balanced",0.2,0.1)))</x:f>
        <x:v>0.35</x:v>
      </x:c>
      <x:c r="O29" s="112" t="n">
        <x:f>IF(M29="Risk-on",0.1,IF(M29="Growth",0.1,IF(M29="Balanced",0.05,0.0)))</x:f>
        <x:v>0.1</x:v>
      </x:c>
      <x:c r="P29" s="112" t="n">
        <x:f>IF(M29="Risk-on",0.1,IF(M29="Growth",0.15,IF(M29="Balanced",0.2,0.25)))</x:f>
        <x:v>0.1</x:v>
      </x:c>
      <x:c r="Q29" s="112" t="n">
        <x:f>IF(M29="Risk-on",0.1,IF(M29="Growth",0.1,IF(M29="Balanced",0.15,0.2)))</x:f>
        <x:v>0.1</x:v>
      </x:c>
      <x:c r="R29" s="112" t="n">
        <x:f>IF(M29="Risk-on",0.1,IF(M29="Growth",0.1,IF(M29="Balanced",0.15,0.2)))</x:f>
        <x:v>0.1</x:v>
      </x:c>
      <x:c r="S29" s="112" t="n">
        <x:f>IF(M29="Risk-on",0.1,IF(M29="Growth",0.1,IF(M29="Balanced",0.15,0.2)))</x:f>
        <x:v>0.1</x:v>
      </x:c>
      <x:c r="T29" s="112" t="n">
        <x:f>IF(M29="Risk-on",0.15,IF(M29="Growth",0.15,IF(M29="Balanced",0.1,0.05)))</x:f>
        <x:v>0.15</x:v>
      </x:c>
      <x:c r="U29" s="114" t="n">
        <x:f>SUMPRODUCT(N29:T29,Data!B32:H32)</x:f>
        <x:v>0.16763499999999998</x:v>
      </x:c>
      <x:c r="V29" s="114" t="n">
        <x:f>Data!B32</x:f>
        <x:v>0.1778</x:v>
      </x:c>
      <x:c r="W29" s="114" t="n">
        <x:f>Data!H32</x:f>
        <x:v>0.0421</x:v>
      </x:c>
      <x:c r="X29" s="112" t="n">
        <x:f>X28*(1+U29)</x:f>
        <x:v>5.47981427585435</x:v>
      </x:c>
      <x:c r="Y29" s="112" t="n">
        <x:f>Y28*(1+V29)</x:f>
        <x:v>7.388152359636893</x:v>
      </x:c>
      <x:c r="Z29" s="112" t="n">
        <x:f>X29/MAX($X$4:X29)-1</x:f>
        <x:v>0</x:v>
      </x:c>
      <x:c r="AA29" s="36" t="n">
        <x:f>Y29/MAX($Y$4:Y29)-1</x:f>
        <x:v>0</x:v>
      </x:c>
      <x:c r="AB29" s="34" t="str">
        <x:v>Prior-year macro + market signals; annual rebalance at start of year.</x:v>
      </x:c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AB1"/>
  </x:mergeCells>
  <x:conditionalFormatting sqref="M4:M29">
    <x:cfRule type="expression" dxfId="0" priority="1">
      <x:formula>M4="Risk-on"</x:formula>
    </x:cfRule>
    <x:cfRule type="expression" dxfId="1" priority="2">
      <x:formula>M4="Defensive"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98" t="str">
        <x:v>BACK-TEST | 2000–2025 | MULTI-ASSET REGIME STRATEGY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73" t="str">
        <x:v>The strategy is intentionally evaluated against a plain S&amp;P 500 and a classic 60/40 reference. Annual data limits precision; this is a research exercise, not an investment recommendation.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16" t="str">
        <x:v>Metric</x:v>
      </x:c>
      <x:c r="B4" s="16" t="str">
        <x:v>Regime Strategy</x:v>
      </x:c>
      <x:c r="C4" s="16" t="str">
        <x:v>S&amp;P 500</x:v>
      </x:c>
      <x:c r="D4" s="16" t="str">
        <x:v>60/40</x:v>
      </x:c>
      <x:c r="E4" s="16" t="str">
        <x:v>Equal-Weight 7</x:v>
      </x:c>
      <x:c r="F4" s="16" t="str">
        <x:v>Interpretation</x:v>
      </x:c>
      <x:c r="G4" s="16" t="str">
        <x:v>60/40 Cum</x:v>
      </x:c>
      <x:c r="H4" s="16" t="str">
        <x:v>60/40 DD</x:v>
      </x:c>
      <x:c r="I4" s="16" t="str">
        <x:v>EqualW Cum</x:v>
      </x:c>
      <x:c r="J4" s="16" t="str">
        <x:v>EqualW DD</x:v>
      </x:c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Cumulative return</x:v>
      </x:c>
      <x:c r="B5" s="118" t="n">
        <x:f>'Regime Engine'!X29-1</x:f>
        <x:v>4.47981427585435</x:v>
      </x:c>
      <x:c r="C5" s="118" t="n">
        <x:f>'Regime Engine'!Y29-1</x:f>
        <x:v>6.388152359636893</x:v>
      </x:c>
      <x:c r="D5" s="118" t="n">
        <x:f>G40-1</x:f>
        <x:v>4.728748490503604</x:v>
      </x:c>
      <x:c r="E5" s="118" t="n">
        <x:f>I40-1</x:f>
        <x:v>4.937577493337857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CAGR</x:v>
      </x:c>
      <x:c r="B6" s="118" t="n">
        <x:f>('Regime Engine'!X29)^(1/26)-1</x:f>
        <x:v>0.06761353425071603</x:v>
      </x:c>
      <x:c r="C6" s="118" t="n">
        <x:f>('Regime Engine'!Y29)^(1/26)-1</x:f>
        <x:v>0.07995391884390712</x:v>
      </x:c>
      <x:c r="D6" s="118" t="n">
        <x:f>(G40)^(1/26)-1</x:f>
        <x:v>0.06943931192830433</x:v>
      </x:c>
      <x:c r="E6" s="118" t="n">
        <x:f>(I40)^(1/26)-1</x:f>
        <x:v>0.07091303185081177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Volatility</x:v>
      </x:c>
      <x:c r="B7" s="118" t="n">
        <x:f>STDEV.S('Regime Engine'!U4:U29)</x:f>
        <x:v>0.06920913755700626</x:v>
      </x:c>
      <x:c r="C7" s="118" t="n">
        <x:f>STDEV.S('Regime Engine'!V4:V29)</x:f>
        <x:v>0.177918024382017</x:v>
      </x:c>
      <x:c r="D7" s="118" t="n">
        <x:f>STDEV.S(D15:D40)</x:f>
        <x:v>0.09946593297900852</x:v>
      </x:c>
      <x:c r="E7" s="118" t="n">
        <x:f>STDEV.S(E15:E40)</x:f>
        <x:v>0.07447112062974005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Max drawdown</x:v>
      </x:c>
      <x:c r="B8" s="118" t="n">
        <x:f>MIN('Regime Engine'!Z4:Z29)</x:f>
        <x:v>-0.109765</x:v>
      </x:c>
      <x:c r="C8" s="118" t="n">
        <x:f>MIN('Regime Engine'!AA4:AA29)</x:f>
        <x:v>-0.36549999999999994</x:v>
      </x:c>
      <x:c r="D8" s="118" t="n">
        <x:f>MIN(H15:H40)</x:f>
        <x:v>-0.17955999999999994</x:v>
      </x:c>
      <x:c r="E8" s="118" t="n">
        <x:f>MIN(J15:J40)</x:f>
        <x:v>-0.1012142857142857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Sharpe (rf=T-Bill)</x:v>
      </x:c>
      <x:c r="B9" s="119" t="n">
        <x:f>(AVERAGE('Regime Engine'!U4:U29)-AVERAGE(Data!H7:H32))/STDEV.S('Regime Engine'!U4:U29)</x:f>
        <x:v>0.7283775870471227</x:v>
      </x:c>
      <x:c r="C9" s="119" t="n">
        <x:f>(AVERAGE('Regime Engine'!V4:V29)-AVERAGE(Data!H7:H32))/STDEV.S('Regime Engine'!V4:V29)</x:f>
        <x:v>0.4288275688264974</x:v>
      </x:c>
      <x:c r="D9" s="119" t="n">
        <x:f>(AVERAGE(D15:D40)-AVERAGE(Data!H7:H32))/D7</x:f>
        <x:v>0.5503933153368016</x:v>
      </x:c>
      <x:c r="E9" s="119" t="n">
        <x:f>(AVERAGE(E15:E40)-AVERAGE(Data!H7:H32))/E7</x:f>
        <x:v>0.7254526891555829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Worst year</x:v>
      </x:c>
      <x:c r="B10" s="118" t="n">
        <x:f>MIN('Regime Engine'!U4:U29)</x:f>
        <x:v>-0.10976500000000002</x:v>
      </x:c>
      <x:c r="C10" s="118" t="n">
        <x:f>MIN('Regime Engine'!V4:V29)</x:f>
        <x:v>-0.3655</x:v>
      </x:c>
      <x:c r="D10" s="118" t="n">
        <x:f>MIN(D15:D40)</x:f>
        <x:v>-0.17956</x:v>
      </x:c>
      <x:c r="E10" s="118" t="n">
        <x:f>MIN(E15:E40)</x:f>
        <x:v>-0.1012142857142857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Best year</x:v>
      </x:c>
      <x:c r="B11" s="118" t="n">
        <x:f>MAX('Regime Engine'!U4:U29)</x:f>
        <x:v>0.16763499999999998</x:v>
      </x:c>
      <x:c r="C11" s="118" t="n">
        <x:f>MAX('Regime Engine'!V4:V29)</x:f>
        <x:v>0.3215</x:v>
      </x:c>
      <x:c r="D11" s="118" t="n">
        <x:f>MAX(D15:D40)</x:f>
        <x:v>0.22582</x:v>
      </x:c>
      <x:c r="E11" s="118" t="n">
        <x:f>MAX(E15:E40)</x:f>
        <x:v>0.23297142857142858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16" t="str">
        <x:v>Year</x:v>
      </x:c>
      <x:c r="B14" s="16" t="str">
        <x:v>Strategy</x:v>
      </x:c>
      <x:c r="C14" s="16" t="str">
        <x:v>S&amp;P 500</x:v>
      </x:c>
      <x:c r="D14" s="16" t="str">
        <x:v>60/40</x:v>
      </x:c>
      <x:c r="E14" s="16" t="str">
        <x:v>Equal-Weight 7</x:v>
      </x:c>
      <x:c r="F14" s="16" t="str">
        <x:v>Comment</x:v>
      </x:c>
      <x:c r="G14" s="81" t="str">
        <x:v>60/40 Cum</x:v>
      </x:c>
      <x:c r="H14" s="81" t="str">
        <x:v>60/40 DD</x:v>
      </x:c>
      <x:c r="I14" s="81" t="str">
        <x:v>EqualW Cum</x:v>
      </x:c>
      <x:c r="J14" s="81" t="str">
        <x:v>EqualW DD</x:v>
      </x:c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n">
        <x:v>2000</x:v>
      </x:c>
      <x:c r="B15" s="118" t="n">
        <x:f>'Regime Engine'!U4</x:f>
        <x:v>0.010999999999999994</x:v>
      </x:c>
      <x:c r="C15" s="118" t="n">
        <x:f>'Regime Engine'!V4</x:f>
        <x:v>-0.0903</x:v>
      </x:c>
      <x:c r="D15" s="118" t="n">
        <x:f>Data!B7*0.6+Data!D7*0.4</x:f>
        <x:v>0.012460000000000006</x:v>
      </x:c>
      <x:c r="E15" s="118" t="n">
        <x:f>(Data!B7+Data!C7+Data!D7+Data!E7+Data!F7+Data!G7+Data!H7)/7</x:f>
        <x:v>0.025328571428571423</x:v>
      </x:c>
      <x:c r="F15" s="81" t="str">
        <x:v>High-level annual result; see Regime Engine for attribution.</x:v>
      </x:c>
      <x:c r="G15" s="118" t="n">
        <x:f>1+D15</x:f>
        <x:v>1.01246</x:v>
      </x:c>
      <x:c r="H15" s="118" t="n">
        <x:f>0</x:f>
        <x:v>0</x:v>
      </x:c>
      <x:c r="I15" s="118" t="n">
        <x:f>1+E15</x:f>
        <x:v>1.0253285714285714</x:v>
      </x:c>
      <x:c r="J15" s="118" t="n">
        <x:f>0</x:f>
        <x:v>0</x:v>
      </x:c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n">
        <x:v>2001</x:v>
      </x:c>
      <x:c r="B16" s="118" t="n">
        <x:f>'Regime Engine'!U5</x:f>
        <x:v>0.035875</x:v>
      </x:c>
      <x:c r="C16" s="118" t="n">
        <x:f>'Regime Engine'!V5</x:f>
        <x:v>-0.1185</x:v>
      </x:c>
      <x:c r="D16" s="118" t="n">
        <x:f>Data!B8*0.6+Data!D8*0.4</x:f>
        <x:v>-0.048819999999999995</x:v>
      </x:c>
      <x:c r="E16" s="118" t="n">
        <x:f>(Data!B8+Data!C8+Data!D8+Data!E8+Data!F8+Data!G8+Data!H8)/7</x:f>
        <x:v>0.06481428571428571</x:v>
      </x:c>
      <x:c r="F16" s="81" t="str">
        <x:v>High-level annual result; see Regime Engine for attribution.</x:v>
      </x:c>
      <x:c r="G16" s="118" t="n">
        <x:f>G15*(1+D16)</x:f>
        <x:v>0.9630317028</x:v>
      </x:c>
      <x:c r="H16" s="118" t="n">
        <x:f>G16/MAX($G$15:G16)-1</x:f>
        <x:v>-0.048819999999999975</x:v>
      </x:c>
      <x:c r="I16" s="118" t="n">
        <x:f>I15*(1+E16)</x:f>
        <x:v>1.0917845104081632</x:v>
      </x:c>
      <x:c r="J16" s="118" t="n">
        <x:f>I16/MAX($I$15:I16)-1</x:f>
        <x:v>0</x:v>
      </x:c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n">
        <x:v>2002</x:v>
      </x:c>
      <x:c r="B17" s="118" t="n">
        <x:f>'Regime Engine'!U6</x:f>
        <x:v>-0.015735</x:v>
      </x:c>
      <x:c r="C17" s="118" t="n">
        <x:f>'Regime Engine'!V6</x:f>
        <x:v>-0.2197</x:v>
      </x:c>
      <x:c r="D17" s="118" t="n">
        <x:f>Data!B9*0.6+Data!D9*0.4</x:f>
        <x:v>-0.07133999999999999</x:v>
      </x:c>
      <x:c r="E17" s="118" t="n">
        <x:f>(Data!B9+Data!C9+Data!D9+Data!E9+Data!F9+Data!G9+Data!H9)/7</x:f>
        <x:v>0.05481428571428571</x:v>
      </x:c>
      <x:c r="F17" s="81" t="str">
        <x:v>High-level annual result; see Regime Engine for attribution.</x:v>
      </x:c>
      <x:c r="G17" s="118" t="n">
        <x:f>G16*(1+D17)</x:f>
        <x:v>0.894329021122248</x:v>
      </x:c>
      <x:c r="H17" s="118" t="n">
        <x:f>G17/MAX($G$15:G17)-1</x:f>
        <x:v>-0.11667718119999992</x:v>
      </x:c>
      <x:c r="I17" s="118" t="n">
        <x:f>I16*(1+E17)</x:f>
        <x:v>1.1516298985001077</x:v>
      </x:c>
      <x:c r="J17" s="118" t="n">
        <x:f>I17/MAX($I$15:I17)-1</x:f>
        <x:v>0</x:v>
      </x:c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n">
        <x:v>2003</x:v>
      </x:c>
      <x:c r="B18" s="118" t="n">
        <x:f>'Regime Engine'!U7</x:f>
        <x:v>0.11398500000000002</x:v>
      </x:c>
      <x:c r="C18" s="118" t="n">
        <x:f>'Regime Engine'!V7</x:f>
        <x:v>0.2836</x:v>
      </x:c>
      <x:c r="D18" s="118" t="n">
        <x:f>Data!B10*0.6+Data!D10*0.4</x:f>
        <x:v>0.17168</x:v>
      </x:c>
      <x:c r="E18" s="118" t="n">
        <x:f>(Data!B10+Data!C10+Data!D10+Data!E10+Data!F10+Data!G10+Data!H10)/7</x:f>
        <x:v>0.23297142857142858</x:v>
      </x:c>
      <x:c r="F18" s="81" t="str">
        <x:v>High-level annual result; see Regime Engine for attribution.</x:v>
      </x:c>
      <x:c r="G18" s="118" t="n">
        <x:f>G17*(1+D18)</x:f>
        <x:v>1.0478674274685156</x:v>
      </x:c>
      <x:c r="H18" s="118" t="n">
        <x:f>G18/MAX($G$15:G18)-1</x:f>
        <x:v>0</x:v>
      </x:c>
      <x:c r="I18" s="118" t="n">
        <x:f>I17*(1+E18)</x:f>
        <x:v>1.419926761139247</x:v>
      </x:c>
      <x:c r="J18" s="118" t="n">
        <x:f>I18/MAX($I$15:I18)-1</x:f>
        <x:v>0</x:v>
      </x:c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n">
        <x:v>2004</x:v>
      </x:c>
      <x:c r="B19" s="118" t="n">
        <x:f>'Regime Engine'!U8</x:f>
        <x:v>0.0901</x:v>
      </x:c>
      <x:c r="C19" s="118" t="n">
        <x:f>'Regime Engine'!V8</x:f>
        <x:v>0.1074</x:v>
      </x:c>
      <x:c r="D19" s="118" t="n">
        <x:f>Data!B11*0.6+Data!D11*0.4</x:f>
        <x:v>0.0824</x:v>
      </x:c>
      <x:c r="E19" s="118" t="n">
        <x:f>(Data!B11+Data!C11+Data!D11+Data!E11+Data!F11+Data!G11+Data!H11)/7</x:f>
        <x:v>0.08935714285714284</x:v>
      </x:c>
      <x:c r="F19" s="81" t="str">
        <x:v>High-level annual result; see Regime Engine for attribution.</x:v>
      </x:c>
      <x:c r="G19" s="118" t="n">
        <x:f>G18*(1+D19)</x:f>
        <x:v>1.1342117034919212</x:v>
      </x:c>
      <x:c r="H19" s="118" t="n">
        <x:f>G19/MAX($G$15:G19)-1</x:f>
        <x:v>0</x:v>
      </x:c>
      <x:c r="I19" s="118" t="n">
        <x:f>I18*(1+E19)</x:f>
        <x:v>1.546807359581047</x:v>
      </x:c>
      <x:c r="J19" s="118" t="n">
        <x:f>I19/MAX($I$15:I19)-1</x:f>
        <x:v>0</x:v>
      </x:c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n">
        <x:v>2005</x:v>
      </x:c>
      <x:c r="B20" s="118" t="n">
        <x:f>'Regime Engine'!U9</x:f>
        <x:v>0.075125</x:v>
      </x:c>
      <x:c r="C20" s="118" t="n">
        <x:f>'Regime Engine'!V9</x:f>
        <x:v>0.0483</x:v>
      </x:c>
      <x:c r="D20" s="118" t="n">
        <x:f>Data!B12*0.6+Data!D12*0.4</x:f>
        <x:v>0.040459999999999996</x:v>
      </x:c>
      <x:c r="E20" s="118" t="n">
        <x:f>(Data!B12+Data!C12+Data!D12+Data!E12+Data!F12+Data!G12+Data!H12)/7</x:f>
        <x:v>0.07301428571428571</x:v>
      </x:c>
      <x:c r="F20" s="81" t="str">
        <x:v>High-level annual result; see Regime Engine for attribution.</x:v>
      </x:c>
      <x:c r="G20" s="118" t="n">
        <x:f>G19*(1+D20)</x:f>
        <x:v>1.1801019090152043</x:v>
      </x:c>
      <x:c r="H20" s="118" t="n">
        <x:f>G20/MAX($G$15:G20)-1</x:f>
        <x:v>0</x:v>
      </x:c>
      <x:c r="I20" s="118" t="n">
        <x:f>I19*(1+E20)</x:f>
        <x:v>1.6597463940784574</x:v>
      </x:c>
      <x:c r="J20" s="118" t="n">
        <x:f>I20/MAX($I$15:I20)-1</x:f>
        <x:v>0</x:v>
      </x:c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n">
        <x:v>2006</x:v>
      </x:c>
      <x:c r="B21" s="118" t="n">
        <x:f>'Regime Engine'!U10</x:f>
        <x:v>0.083335</x:v>
      </x:c>
      <x:c r="C21" s="118" t="n">
        <x:f>'Regime Engine'!V10</x:f>
        <x:v>0.1561</x:v>
      </x:c>
      <x:c r="D21" s="118" t="n">
        <x:f>Data!B13*0.6+Data!D13*0.4</x:f>
        <x:v>0.10149999999999999</x:v>
      </x:c>
      <x:c r="E21" s="118" t="n">
        <x:f>(Data!B13+Data!C13+Data!D13+Data!E13+Data!F13+Data!G13+Data!H13)/7</x:f>
        <x:v>0.10145714285714284</x:v>
      </x:c>
      <x:c r="F21" s="81" t="str">
        <x:v>High-level annual result; see Regime Engine for attribution.</x:v>
      </x:c>
      <x:c r="G21" s="118" t="n">
        <x:f>G20*(1+D21)</x:f>
        <x:v>1.2998822527802474</x:v>
      </x:c>
      <x:c r="H21" s="118" t="n">
        <x:f>G21/MAX($G$15:G21)-1</x:f>
        <x:v>0</x:v>
      </x:c>
      <x:c r="I21" s="118" t="n">
        <x:f>I20*(1+E21)</x:f>
        <x:v>1.8281395210891032</x:v>
      </x:c>
      <x:c r="J21" s="118" t="n">
        <x:f>I21/MAX($I$15:I21)-1</x:f>
        <x:v>0</x:v>
      </x:c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n">
        <x:v>2007</x:v>
      </x:c>
      <x:c r="B22" s="118" t="n">
        <x:f>'Regime Engine'!U11</x:f>
        <x:v>0.078435</x:v>
      </x:c>
      <x:c r="C22" s="118" t="n">
        <x:f>'Regime Engine'!V11</x:f>
        <x:v>0.0548</x:v>
      </x:c>
      <x:c r="D22" s="118" t="n">
        <x:f>Data!B14*0.6+Data!D14*0.4</x:f>
        <x:v>0.07372000000000001</x:v>
      </x:c>
      <x:c r="E22" s="118" t="n">
        <x:f>(Data!B14+Data!C14+Data!D14+Data!E14+Data!F14+Data!G14+Data!H14)/7</x:f>
        <x:v>0.06068571428571429</x:v>
      </x:c>
      <x:c r="F22" s="81" t="str">
        <x:v>High-level annual result; see Regime Engine for attribution.</x:v>
      </x:c>
      <x:c r="G22" s="118" t="n">
        <x:f>G21*(1+D22)</x:f>
        <x:v>1.3957095724552073</x:v>
      </x:c>
      <x:c r="H22" s="118" t="n">
        <x:f>G22/MAX($G$15:G22)-1</x:f>
        <x:v>0</x:v>
      </x:c>
      <x:c r="I22" s="118" t="n">
        <x:f>I21*(1+E22)</x:f>
        <x:v>1.939081473740339</x:v>
      </x:c>
      <x:c r="J22" s="118" t="n">
        <x:f>I22/MAX($I$15:I22)-1</x:f>
        <x:v>0</x:v>
      </x:c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n">
        <x:v>2008</x:v>
      </x:c>
      <x:c r="B23" s="118" t="n">
        <x:f>'Regime Engine'!U12</x:f>
        <x:v>-0.07051999999999999</x:v>
      </x:c>
      <x:c r="C23" s="118" t="n">
        <x:f>'Regime Engine'!V12</x:f>
        <x:v>-0.3655</x:v>
      </x:c>
      <x:c r="D23" s="118" t="n">
        <x:f>Data!B15*0.6+Data!D15*0.4</x:f>
        <x:v>-0.13889999999999997</x:v>
      </x:c>
      <x:c r="E23" s="118" t="n">
        <x:f>(Data!B15+Data!C15+Data!D15+Data!E15+Data!F15+Data!G15+Data!H15)/7</x:f>
        <x:v>-0.1012142857142857</x:v>
      </x:c>
      <x:c r="F23" s="81" t="str">
        <x:v>High-level annual result; see Regime Engine for attribution.</x:v>
      </x:c>
      <x:c r="G23" s="118" t="n">
        <x:f>G22*(1+D23)</x:f>
        <x:v>1.201845512841179</x:v>
      </x:c>
      <x:c r="H23" s="118" t="n">
        <x:f>G23/MAX($G$15:G23)-1</x:f>
        <x:v>-0.13890000000000013</x:v>
      </x:c>
      <x:c r="I23" s="118" t="n">
        <x:f>I22*(1+E23)</x:f>
        <x:v>1.7428187274339062</x:v>
      </x:c>
      <x:c r="J23" s="118" t="n">
        <x:f>I23/MAX($I$15:I23)-1</x:f>
        <x:v>-0.1012142857142857</x:v>
      </x:c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n">
        <x:v>2009</x:v>
      </x:c>
      <x:c r="B24" s="118" t="n">
        <x:f>'Regime Engine'!U13</x:f>
        <x:v>0.08051500000000002</x:v>
      </x:c>
      <x:c r="C24" s="118" t="n">
        <x:f>'Regime Engine'!V13</x:f>
        <x:v>0.2594</x:v>
      </x:c>
      <x:c r="D24" s="118" t="n">
        <x:f>Data!B16*0.6+Data!D16*0.4</x:f>
        <x:v>0.11116000000000001</x:v>
      </x:c>
      <x:c r="E24" s="118" t="n">
        <x:f>(Data!B16+Data!C16+Data!D16+Data!E16+Data!F16+Data!G16+Data!H16)/7</x:f>
        <x:v>0.14722857142857146</x:v>
      </x:c>
      <x:c r="F24" s="81" t="str">
        <x:v>High-level annual result; see Regime Engine for attribution.</x:v>
      </x:c>
      <x:c r="G24" s="118" t="n">
        <x:f>G23*(1+D24)</x:f>
        <x:v>1.3354426600486042</x:v>
      </x:c>
      <x:c r="H24" s="118" t="n">
        <x:f>G24/MAX($G$15:G24)-1</x:f>
        <x:v>-0.04318012400000015</x:v>
      </x:c>
      <x:c r="I24" s="118" t="n">
        <x:f>I23*(1+E24)</x:f>
        <x:v>1.9994114389329611</x:v>
      </x:c>
      <x:c r="J24" s="118" t="n">
        <x:f>I24/MAX($I$15:I24)-1</x:f>
        <x:v>0</x:v>
      </x:c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n">
        <x:v>2010</x:v>
      </x:c>
      <x:c r="B25" s="118" t="n">
        <x:f>'Regime Engine'!U14</x:f>
        <x:v>0.12279000000000001</x:v>
      </x:c>
      <x:c r="C25" s="118" t="n">
        <x:f>'Regime Engine'!V14</x:f>
        <x:v>0.1482</x:v>
      </x:c>
      <x:c r="D25" s="118" t="n">
        <x:f>Data!B17*0.6+Data!D17*0.4</x:f>
        <x:v>0.12276000000000001</x:v>
      </x:c>
      <x:c r="E25" s="118" t="n">
        <x:f>(Data!B17+Data!C17+Data!D17+Data!E17+Data!F17+Data!G17+Data!H17)/7</x:f>
        <x:v>0.12238571428571428</x:v>
      </x:c>
      <x:c r="F25" s="81" t="str">
        <x:v>High-level annual result; see Regime Engine for attribution.</x:v>
      </x:c>
      <x:c r="G25" s="118" t="n">
        <x:f>G24*(1+D25)</x:f>
        <x:v>1.499381600996171</x:v>
      </x:c>
      <x:c r="H25" s="118" t="n">
        <x:f>G25/MAX($G$15:G25)-1</x:f>
        <x:v>0</x:v>
      </x:c>
      <x:c r="I25" s="118" t="n">
        <x:f>I24*(1+E25)</x:f>
        <x:v>2.2441108360377995</x:v>
      </x:c>
      <x:c r="J25" s="118" t="n">
        <x:f>I25/MAX($I$15:I25)-1</x:f>
        <x:v>0</x:v>
      </x:c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n">
        <x:v>2011</x:v>
      </x:c>
      <x:c r="B26" s="118" t="n">
        <x:f>'Regime Engine'!U15</x:f>
        <x:v>0.059895</x:v>
      </x:c>
      <x:c r="C26" s="118" t="n">
        <x:f>'Regime Engine'!V15</x:f>
        <x:v>0.021</x:v>
      </x:c>
      <x:c r="D26" s="118" t="n">
        <x:f>Data!B18*0.6+Data!D18*0.4</x:f>
        <x:v>0.07676</x:v>
      </x:c>
      <x:c r="E26" s="118" t="n">
        <x:f>(Data!B18+Data!C18+Data!D18+Data!E18+Data!F18+Data!G18+Data!H18)/7</x:f>
        <x:v>0.035057142857142856</x:v>
      </x:c>
      <x:c r="F26" s="81" t="str">
        <x:v>High-level annual result; see Regime Engine for attribution.</x:v>
      </x:c>
      <x:c r="G26" s="118" t="n">
        <x:f>G25*(1+D26)</x:f>
        <x:v>1.614474132688637</x:v>
      </x:c>
      <x:c r="H26" s="118" t="n">
        <x:f>G26/MAX($G$15:G26)-1</x:f>
        <x:v>0</x:v>
      </x:c>
      <x:c r="I26" s="118" t="n">
        <x:f>I25*(1+E26)</x:f>
        <x:v>2.322782950204039</x:v>
      </x:c>
      <x:c r="J26" s="118" t="n">
        <x:f>I26/MAX($I$15:I26)-1</x:f>
        <x:v>0</x:v>
      </x:c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n">
        <x:v>2012</x:v>
      </x:c>
      <x:c r="B27" s="118" t="n">
        <x:f>'Regime Engine'!U16</x:f>
        <x:v>0.0664</x:v>
      </x:c>
      <x:c r="C27" s="118" t="n">
        <x:f>'Regime Engine'!V16</x:f>
        <x:v>0.1589</x:v>
      </x:c>
      <x:c r="D27" s="118" t="n">
        <x:f>Data!B19*0.6+Data!D19*0.4</x:f>
        <x:v>0.10722000000000001</x:v>
      </x:c>
      <x:c r="E27" s="118" t="n">
        <x:f>(Data!B19+Data!C19+Data!D19+Data!E19+Data!F19+Data!G19+Data!H19)/7</x:f>
        <x:v>0.0849</x:v>
      </x:c>
      <x:c r="F27" s="81" t="str">
        <x:v>High-level annual result; see Regime Engine for attribution.</x:v>
      </x:c>
      <x:c r="G27" s="118" t="n">
        <x:f>G26*(1+D27)</x:f>
        <x:v>1.7875780491955127</x:v>
      </x:c>
      <x:c r="H27" s="118" t="n">
        <x:f>G27/MAX($G$15:G27)-1</x:f>
        <x:v>0</x:v>
      </x:c>
      <x:c r="I27" s="118" t="n">
        <x:f>I26*(1+E27)</x:f>
        <x:v>2.519987222676362</x:v>
      </x:c>
      <x:c r="J27" s="118" t="n">
        <x:f>I27/MAX($I$15:I27)-1</x:f>
        <x:v>0</x:v>
      </x:c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n">
        <x:v>2013</x:v>
      </x:c>
      <x:c r="B28" s="118" t="n">
        <x:f>'Regime Engine'!U17</x:f>
        <x:v>0.13579500000000003</x:v>
      </x:c>
      <x:c r="C28" s="118" t="n">
        <x:f>'Regime Engine'!V17</x:f>
        <x:v>0.3215</x:v>
      </x:c>
      <x:c r="D28" s="118" t="n">
        <x:f>Data!B20*0.6+Data!D20*0.4</x:f>
        <x:v>0.15649999999999997</x:v>
      </x:c>
      <x:c r="E28" s="118" t="n">
        <x:f>(Data!B20+Data!C20+Data!D20+Data!E20+Data!F20+Data!G20+Data!H20)/7</x:f>
        <x:v>0.07912857142857144</x:v>
      </x:c>
      <x:c r="F28" s="81" t="str">
        <x:v>High-level annual result; see Regime Engine for attribution.</x:v>
      </x:c>
      <x:c r="G28" s="118" t="n">
        <x:f>G27*(1+D28)</x:f>
        <x:v>2.06733401389461</x:v>
      </x:c>
      <x:c r="H28" s="118" t="n">
        <x:f>G28/MAX($G$15:G28)-1</x:f>
        <x:v>0</x:v>
      </x:c>
      <x:c r="I28" s="118" t="n">
        <x:f>I27*(1+E28)</x:f>
        <x:v>2.719390211624996</x:v>
      </x:c>
      <x:c r="J28" s="118" t="n">
        <x:f>I28/MAX($I$15:I28)-1</x:f>
        <x:v>0</x:v>
      </x:c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n">
        <x:v>2014</x:v>
      </x:c>
      <x:c r="B29" s="118" t="n">
        <x:f>'Regime Engine'!U18</x:f>
        <x:v>0.075015</x:v>
      </x:c>
      <x:c r="C29" s="118" t="n">
        <x:f>'Regime Engine'!V18</x:f>
        <x:v>0.1352</x:v>
      </x:c>
      <x:c r="D29" s="118" t="n">
        <x:f>Data!B21*0.6+Data!D21*0.4</x:f>
        <x:v>0.12411999999999998</x:v>
      </x:c>
      <x:c r="E29" s="118" t="n">
        <x:f>(Data!B21+Data!C21+Data!D21+Data!E21+Data!F21+Data!G21+Data!H21)/7</x:f>
        <x:v>0.05885714285714285</x:v>
      </x:c>
      <x:c r="F29" s="81" t="str">
        <x:v>High-level annual result; see Regime Engine for attribution.</x:v>
      </x:c>
      <x:c r="G29" s="118" t="n">
        <x:f>G28*(1+D29)</x:f>
        <x:v>2.323931511699209</x:v>
      </x:c>
      <x:c r="H29" s="118" t="n">
        <x:f>G29/MAX($G$15:G29)-1</x:f>
        <x:v>0</x:v>
      </x:c>
      <x:c r="I29" s="118" t="n">
        <x:f>I28*(1+E29)</x:f>
        <x:v>2.8794457497949244</x:v>
      </x:c>
      <x:c r="J29" s="118" t="n">
        <x:f>I29/MAX($I$15:I29)-1</x:f>
        <x:v>0</x:v>
      </x:c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n">
        <x:v>2015</x:v>
      </x:c>
      <x:c r="B30" s="118" t="n">
        <x:f>'Regime Engine'!U19</x:f>
        <x:v>-0.011405000000000002</x:v>
      </x:c>
      <x:c r="C30" s="118" t="n">
        <x:f>'Regime Engine'!V19</x:f>
        <x:v>0.0138</x:v>
      </x:c>
      <x:c r="D30" s="118" t="n">
        <x:f>Data!B22*0.6+Data!D22*0.4</x:f>
        <x:v>0.013399999999999999</x:v>
      </x:c>
      <x:c r="E30" s="118" t="n">
        <x:f>(Data!B22+Data!C22+Data!D22+Data!E22+Data!F22+Data!G22+Data!H22)/7</x:f>
        <x:v>-0.021185714285714283</x:v>
      </x:c>
      <x:c r="F30" s="81" t="str">
        <x:v>High-level annual result; see Regime Engine for attribution.</x:v>
      </x:c>
      <x:c r="G30" s="118" t="n">
        <x:f>G29*(1+D30)</x:f>
        <x:v>2.3550721939559787</x:v>
      </x:c>
      <x:c r="H30" s="118" t="n">
        <x:f>G30/MAX($G$15:G30)-1</x:f>
        <x:v>0</x:v>
      </x:c>
      <x:c r="I30" s="118" t="n">
        <x:f>I29*(1+E30)</x:f>
        <x:v>2.8184426348385547</x:v>
      </x:c>
      <x:c r="J30" s="118" t="n">
        <x:f>I30/MAX($I$15:I30)-1</x:f>
        <x:v>-0.021185714285714252</x:v>
      </x:c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n">
        <x:v>2016</x:v>
      </x:c>
      <x:c r="B31" s="118" t="n">
        <x:f>'Regime Engine'!U20</x:f>
        <x:v>0.071145</x:v>
      </x:c>
      <x:c r="C31" s="118" t="n">
        <x:f>'Regime Engine'!V20</x:f>
        <x:v>0.1177</x:v>
      </x:c>
      <x:c r="D31" s="118" t="n">
        <x:f>Data!B23*0.6+Data!D23*0.4</x:f>
        <x:v>0.07338</x:v>
      </x:c>
      <x:c r="E31" s="118" t="n">
        <x:f>(Data!B23+Data!C23+Data!D23+Data!E23+Data!F23+Data!G23+Data!H23)/7</x:f>
        <x:v>0.07818571428571429</x:v>
      </x:c>
      <x:c r="F31" s="81" t="str">
        <x:v>High-level annual result; see Regime Engine for attribution.</x:v>
      </x:c>
      <x:c r="G31" s="118" t="n">
        <x:f>G30*(1+D31)</x:f>
        <x:v>2.5278873915484685</x:v>
      </x:c>
      <x:c r="H31" s="118" t="n">
        <x:f>G31/MAX($G$15:G31)-1</x:f>
        <x:v>0</x:v>
      </x:c>
      <x:c r="I31" s="118" t="n">
        <x:f>I30*(1+E31)</x:f>
        <x:v>3.0388045854167176</x:v>
      </x:c>
      <x:c r="J31" s="118" t="n">
        <x:f>I31/MAX($I$15:I31)-1</x:f>
        <x:v>0</x:v>
      </x:c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n">
        <x:v>2017</x:v>
      </x:c>
      <x:c r="B32" s="118" t="n">
        <x:f>'Regime Engine'!U21</x:f>
        <x:v>0.12301</x:v>
      </x:c>
      <x:c r="C32" s="118" t="n">
        <x:f>'Regime Engine'!V21</x:f>
        <x:v>0.2161</x:v>
      </x:c>
      <x:c r="D32" s="118" t="n">
        <x:f>Data!B24*0.6+Data!D24*0.4</x:f>
        <x:v>0.14085999999999999</x:v>
      </x:c>
      <x:c r="E32" s="118" t="n">
        <x:f>(Data!B24+Data!C24+Data!D24+Data!E24+Data!F24+Data!G24+Data!H24)/7</x:f>
        <x:v>0.09787142857142857</x:v>
      </x:c>
      <x:c r="F32" s="81" t="str">
        <x:v>High-level annual result; see Regime Engine for attribution.</x:v>
      </x:c>
      <x:c r="G32" s="118" t="n">
        <x:f>G31*(1+D32)</x:f>
        <x:v>2.8839656095219857</x:v>
      </x:c>
      <x:c r="H32" s="118" t="n">
        <x:f>G32/MAX($G$15:G32)-1</x:f>
        <x:v>0</x:v>
      </x:c>
      <x:c r="I32" s="118" t="n">
        <x:f>I31*(1+E32)</x:f>
        <x:v>3.3362167313408597</x:v>
      </x:c>
      <x:c r="J32" s="118" t="n">
        <x:f>I32/MAX($I$15:I32)-1</x:f>
        <x:v>0</x:v>
      </x:c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n">
        <x:v>2018</x:v>
      </x:c>
      <x:c r="B33" s="118" t="n">
        <x:f>'Regime Engine'!U22</x:f>
        <x:v>-0.014019999999999998</x:v>
      </x:c>
      <x:c r="C33" s="118" t="n">
        <x:f>'Regime Engine'!V22</x:f>
        <x:v>-0.0423</x:v>
      </x:c>
      <x:c r="D33" s="118" t="n">
        <x:f>Data!B25*0.6+Data!D25*0.4</x:f>
        <x:v>-0.025459999999999997</x:v>
      </x:c>
      <x:c r="E33" s="118" t="n">
        <x:f>(Data!B25+Data!C25+Data!D25+Data!E25+Data!F25+Data!G25+Data!H25)/7</x:f>
        <x:v>-0.02582857142857143</x:v>
      </x:c>
      <x:c r="F33" s="81" t="str">
        <x:v>High-level annual result; see Regime Engine for attribution.</x:v>
      </x:c>
      <x:c r="G33" s="118" t="n">
        <x:f>G32*(1+D33)</x:f>
        <x:v>2.810539845103556</x:v>
      </x:c>
      <x:c r="H33" s="118" t="n">
        <x:f>G33/MAX($G$15:G33)-1</x:f>
        <x:v>-0.025460000000000038</x:v>
      </x:c>
      <x:c r="I33" s="118" t="n">
        <x:f>I32*(1+E33)</x:f>
        <x:v>3.2500470191942274</x:v>
      </x:c>
      <x:c r="J33" s="118" t="n">
        <x:f>I33/MAX($I$15:I33)-1</x:f>
        <x:v>-0.025828571428571312</x:v>
      </x:c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n">
        <x:v>2019</x:v>
      </x:c>
      <x:c r="B34" s="118" t="n">
        <x:f>'Regime Engine'!U23</x:f>
        <x:v>0.132405</x:v>
      </x:c>
      <x:c r="C34" s="118" t="n">
        <x:f>'Regime Engine'!V23</x:f>
        <x:v>0.3121</x:v>
      </x:c>
      <x:c r="D34" s="118" t="n">
        <x:f>Data!B26*0.6+Data!D26*0.4</x:f>
        <x:v>0.22582</x:v>
      </x:c>
      <x:c r="E34" s="118" t="n">
        <x:f>(Data!B26+Data!C26+Data!D26+Data!E26+Data!F26+Data!G26+Data!H26)/7</x:f>
        <x:v>0.13271428571428573</x:v>
      </x:c>
      <x:c r="F34" s="81" t="str">
        <x:v>High-level annual result; see Regime Engine for attribution.</x:v>
      </x:c>
      <x:c r="G34" s="118" t="n">
        <x:f>G33*(1+D34)</x:f>
        <x:v>3.4452159529248405</x:v>
      </x:c>
      <x:c r="H34" s="118" t="n">
        <x:f>G34/MAX($G$15:G34)-1</x:f>
        <x:v>0</x:v>
      </x:c>
      <x:c r="I34" s="118" t="n">
        <x:f>I33*(1+E34)</x:f>
        <x:v>3.681374687884433</x:v>
      </x:c>
      <x:c r="J34" s="118" t="n">
        <x:f>I34/MAX($I$15:I34)-1</x:f>
        <x:v>0</x:v>
      </x:c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n">
        <x:v>2020</x:v>
      </x:c>
      <x:c r="B35" s="118" t="n">
        <x:f>'Regime Engine'!U24</x:f>
        <x:v>0.15430000000000002</x:v>
      </x:c>
      <x:c r="C35" s="118" t="n">
        <x:f>'Regime Engine'!V24</x:f>
        <x:v>0.1802</x:v>
      </x:c>
      <x:c r="D35" s="118" t="n">
        <x:f>Data!B27*0.6+Data!D27*0.4</x:f>
        <x:v>0.15344</x:v>
      </x:c>
      <x:c r="E35" s="118" t="n">
        <x:f>(Data!B27+Data!C27+Data!D27+Data!E27+Data!F27+Data!G27+Data!H27)/7</x:f>
        <x:v>0.1558142857142857</x:v>
      </x:c>
      <x:c r="F35" s="81" t="str">
        <x:v>High-level annual result; see Regime Engine for attribution.</x:v>
      </x:c>
      <x:c r="G35" s="118" t="n">
        <x:f>G34*(1+D35)</x:f>
        <x:v>3.9738498887416283</x:v>
      </x:c>
      <x:c r="H35" s="118" t="n">
        <x:f>G35/MAX($G$15:G35)-1</x:f>
        <x:v>0</x:v>
      </x:c>
      <x:c r="I35" s="118" t="n">
        <x:f>I34*(1+E35)</x:f>
        <x:v>4.254985455323797</x:v>
      </x:c>
      <x:c r="J35" s="118" t="n">
        <x:f>I35/MAX($I$15:I35)-1</x:f>
        <x:v>0</x:v>
      </x:c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n">
        <x:v>2021</x:v>
      </x:c>
      <x:c r="B36" s="118" t="n">
        <x:f>'Regime Engine'!U25</x:f>
        <x:v>0.133825</x:v>
      </x:c>
      <x:c r="C36" s="118" t="n">
        <x:f>'Regime Engine'!V25</x:f>
        <x:v>0.2847</x:v>
      </x:c>
      <x:c r="D36" s="118" t="n">
        <x:f>Data!B28*0.6+Data!D28*0.4</x:f>
        <x:v>0.15314</x:v>
      </x:c>
      <x:c r="E36" s="118" t="n">
        <x:f>(Data!B28+Data!C28+Data!D28+Data!E28+Data!F28+Data!G28+Data!H28)/7</x:f>
        <x:v>0.08947142857142856</x:v>
      </x:c>
      <x:c r="F36" s="81" t="str">
        <x:v>High-level annual result; see Regime Engine for attribution.</x:v>
      </x:c>
      <x:c r="G36" s="118" t="n">
        <x:f>G35*(1+D36)</x:f>
        <x:v>4.5824052607035215</x:v>
      </x:c>
      <x:c r="H36" s="118" t="n">
        <x:f>G36/MAX($G$15:G36)-1</x:f>
        <x:v>0</x:v>
      </x:c>
      <x:c r="I36" s="118" t="n">
        <x:f>I35*(1+E36)</x:f>
        <x:v>4.635685082562268</x:v>
      </x:c>
      <x:c r="J36" s="118" t="n">
        <x:f>I36/MAX($I$15:I36)-1</x:f>
        <x:v>0</x:v>
      </x:c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n">
        <x:v>2022</x:v>
      </x:c>
      <x:c r="B37" s="118" t="n">
        <x:f>'Regime Engine'!U26</x:f>
        <x:v>-0.10976500000000002</x:v>
      </x:c>
      <x:c r="C37" s="118" t="n">
        <x:f>'Regime Engine'!V26</x:f>
        <x:v>-0.1804</x:v>
      </x:c>
      <x:c r="D37" s="118" t="n">
        <x:f>Data!B29*0.6+Data!D29*0.4</x:f>
        <x:v>-0.17956</x:v>
      </x:c>
      <x:c r="E37" s="118" t="n">
        <x:f>(Data!B29+Data!C29+Data!D29+Data!E29+Data!F29+Data!G29+Data!H29)/7</x:f>
        <x:v>-0.09387142857142858</x:v>
      </x:c>
      <x:c r="F37" s="81" t="str">
        <x:v>High-level annual result; see Regime Engine for attribution.</x:v>
      </x:c>
      <x:c r="G37" s="118" t="n">
        <x:f>G36*(1+D37)</x:f>
        <x:v>3.7595885720915976</x:v>
      </x:c>
      <x:c r="H37" s="118" t="n">
        <x:f>G37/MAX($G$15:G37)-1</x:f>
        <x:v>-0.17955999999999994</x:v>
      </x:c>
      <x:c r="I37" s="118" t="n">
        <x:f>I36*(1+E37)</x:f>
        <x:v>4.200526701454887</x:v>
      </x:c>
      <x:c r="J37" s="118" t="n">
        <x:f>I37/MAX($I$15:I37)-1</x:f>
        <x:v>-0.0938714285714285</x:v>
      </x:c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n">
        <x:v>2023</x:v>
      </x:c>
      <x:c r="B38" s="118" t="n">
        <x:f>'Regime Engine'!U27</x:f>
        <x:v>0.09376000000000001</x:v>
      </x:c>
      <x:c r="C38" s="118" t="n">
        <x:f>'Regime Engine'!V27</x:f>
        <x:v>0.2606</x:v>
      </x:c>
      <x:c r="D38" s="118" t="n">
        <x:f>Data!B30*0.6+Data!D30*0.4</x:f>
        <x:v>0.17188</x:v>
      </x:c>
      <x:c r="E38" s="118" t="n">
        <x:f>(Data!B30+Data!C30+Data!D30+Data!E30+Data!F30+Data!G30+Data!H30)/7</x:f>
        <x:v>0.09727142857142856</x:v>
      </x:c>
      <x:c r="F38" s="81" t="str">
        <x:v>High-level annual result; see Regime Engine for attribution.</x:v>
      </x:c>
      <x:c r="G38" s="118" t="n">
        <x:f>G37*(1+D38)</x:f>
        <x:v>4.405786655862702</x:v>
      </x:c>
      <x:c r="H38" s="118" t="n">
        <x:f>G38/MAX($G$15:G38)-1</x:f>
        <x:v>-0.038542772799999736</x:v>
      </x:c>
      <x:c r="I38" s="118" t="n">
        <x:f>I37*(1+E38)</x:f>
        <x:v>4.609117934457835</x:v>
      </x:c>
      <x:c r="J38" s="118" t="n">
        <x:f>I38/MAX($I$15:I38)-1</x:f>
        <x:v>-0.005731007959183576</x:v>
      </x:c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n">
        <x:v>2024</x:v>
      </x:c>
      <x:c r="B39" s="118" t="n">
        <x:f>'Regime Engine'!U28</x:f>
        <x:v>0.13357</x:v>
      </x:c>
      <x:c r="C39" s="118" t="n">
        <x:f>'Regime Engine'!V28</x:f>
        <x:v>0.2488</x:v>
      </x:c>
      <x:c r="D39" s="118" t="n">
        <x:f>Data!B31*0.6+Data!D31*0.4</x:f>
        <x:v>0.14271999999999999</x:v>
      </x:c>
      <x:c r="E39" s="118" t="n">
        <x:f>(Data!B31+Data!C31+Data!D31+Data!E31+Data!F31+Data!G31+Data!H31)/7</x:f>
        <x:v>0.09825714285714285</x:v>
      </x:c>
      <x:c r="F39" s="81" t="str">
        <x:v>High-level annual result; see Regime Engine for attribution.</x:v>
      </x:c>
      <x:c r="G39" s="118" t="n">
        <x:f>G38*(1+D39)</x:f>
        <x:v>5.034580527387426</x:v>
      </x:c>
      <x:c r="H39" s="118" t="n">
        <x:f>G39/MAX($G$15:G39)-1</x:f>
        <x:v>0</x:v>
      </x:c>
      <x:c r="I39" s="118" t="n">
        <x:f>I38*(1+E39)</x:f>
        <x:v>5.061996693789277</x:v>
      </x:c>
      <x:c r="J39" s="118" t="n">
        <x:f>I39/MAX($I$15:I39)-1</x:f>
        <x:v>0</x:v>
      </x:c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n">
        <x:v>2025</x:v>
      </x:c>
      <x:c r="B40" s="118" t="n">
        <x:f>'Regime Engine'!U29</x:f>
        <x:v>0.16763499999999998</x:v>
      </x:c>
      <x:c r="C40" s="118" t="n">
        <x:f>'Regime Engine'!V29</x:f>
        <x:v>0.1778</x:v>
      </x:c>
      <x:c r="D40" s="118" t="n">
        <x:f>Data!B32*0.6+Data!D32*0.4</x:f>
        <x:v>0.13788</x:v>
      </x:c>
      <x:c r="E40" s="118" t="n">
        <x:f>(Data!B32+Data!C32+Data!D32+Data!E32+Data!F32+Data!G32+Data!H32)/7</x:f>
        <x:v>0.17297142857142858</x:v>
      </x:c>
      <x:c r="F40" s="81" t="str">
        <x:v>High-level annual result; see Regime Engine for attribution.</x:v>
      </x:c>
      <x:c r="G40" s="118" t="n">
        <x:f>G39*(1+D40)</x:f>
        <x:v>5.728748490503604</x:v>
      </x:c>
      <x:c r="H40" s="118" t="n">
        <x:f>G40/MAX($G$15:G40)-1</x:f>
        <x:v>0</x:v>
      </x:c>
      <x:c r="I40" s="118" t="n">
        <x:f>I39*(1+E40)</x:f>
        <x:v>5.937577493337857</x:v>
      </x:c>
      <x:c r="J40" s="118" t="n">
        <x:f>I40/MAX($I$15:I40)-1</x:f>
        <x:v>0</x:v>
      </x:c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15b51f3814b94610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4" t="str">
        <x:v>RETURN ATTRIBUTION | WHERE DID THE STRATEGY MAKE / LOSE MONEY?</x:v>
      </x:c>
      <x:c r="B1" s="4"/>
      <x:c r="C1" s="4"/>
      <x:c r="D1" s="4"/>
      <x:c r="E1" s="4"/>
      <x:c r="F1" s="4"/>
      <x:c r="G1" s="4"/>
      <x:c r="H1" s="4"/>
      <x:c r="I1" s="4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Year</x:v>
      </x:c>
      <x:c r="B3" s="16" t="str">
        <x:v>S&amp;P Cntrib</x:v>
      </x:c>
      <x:c r="C3" s="16" t="str">
        <x:v>Small Cntrib</x:v>
      </x:c>
      <x:c r="D3" s="16" t="str">
        <x:v>10Y Cntrib</x:v>
      </x:c>
      <x:c r="E3" s="16" t="str">
        <x:v>Baa Cntrib</x:v>
      </x:c>
      <x:c r="F3" s="16" t="str">
        <x:v>RE Cntrib</x:v>
      </x:c>
      <x:c r="G3" s="16" t="str">
        <x:v>Gold Cntrib</x:v>
      </x:c>
      <x:c r="H3" s="16" t="str">
        <x:v>Cash Cntrib</x:v>
      </x:c>
      <x:c r="I3" s="16" t="str">
        <x:v>Total</x:v>
      </x:c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n">
        <x:v>2000</x:v>
      </x:c>
      <x:c r="B4" s="74" t="n">
        <x:f>'Regime Engine'!N4*Data!B7</x:f>
        <x:v>-0.02709</x:v>
      </x:c>
      <x:c r="C4" s="74" t="n">
        <x:f>'Regime Engine'!O4*Data!C7</x:f>
        <x:v>-0.009130000000000001</x:v>
      </x:c>
      <x:c r="D4" s="74" t="n">
        <x:f>'Regime Engine'!P4*Data!D7</x:f>
        <x:v>0.02499</x:v>
      </x:c>
      <x:c r="E4" s="74" t="n">
        <x:f>'Regime Engine'!Q4*Data!E7</x:f>
        <x:v>0.00938</x:v>
      </x:c>
      <x:c r="F4" s="74" t="n">
        <x:f>'Regime Engine'!R4*Data!F7</x:f>
        <x:v>0.00929</x:v>
      </x:c>
      <x:c r="G4" s="74" t="n">
        <x:f>'Regime Engine'!S4*Data!G7</x:f>
        <x:v>-0.00544</x:v>
      </x:c>
      <x:c r="H4" s="74" t="n">
        <x:f>'Regime Engine'!T4*Data!H7</x:f>
        <x:v>0.009</x:v>
      </x:c>
      <x:c r="I4" s="74" t="n">
        <x:f>SUM(B4:H4)</x:f>
        <x:v>0.010999999999999994</x:v>
      </x:c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n">
        <x:v>2001</x:v>
      </x:c>
      <x:c r="B5" s="74" t="n">
        <x:f>'Regime Engine'!N5*Data!B8</x:f>
        <x:v>-0.01185</x:v>
      </x:c>
      <x:c r="C5" s="74" t="n">
        <x:f>'Regime Engine'!O5*Data!C8</x:f>
        <x:v>0</x:v>
      </x:c>
      <x:c r="D5" s="74" t="n">
        <x:f>'Regime Engine'!P5*Data!D8</x:f>
        <x:v>0.013925</x:v>
      </x:c>
      <x:c r="E5" s="74" t="n">
        <x:f>'Regime Engine'!Q5*Data!E8</x:f>
        <x:v>0.0172</x:v>
      </x:c>
      <x:c r="F5" s="74" t="n">
        <x:f>'Regime Engine'!R5*Data!F8</x:f>
        <x:v>0.01336</x:v>
      </x:c>
      <x:c r="G5" s="74" t="n">
        <x:f>'Regime Engine'!S5*Data!G8</x:f>
        <x:v>0.0015</x:v>
      </x:c>
      <x:c r="H5" s="74" t="n">
        <x:f>'Regime Engine'!T5*Data!H8</x:f>
        <x:v>0.00174</x:v>
      </x:c>
      <x:c r="I5" s="74" t="n">
        <x:f>SUM(B5:H5)</x:f>
        <x:v>0.035875</x:v>
      </x:c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n">
        <x:v>2002</x:v>
      </x:c>
      <x:c r="B6" s="74" t="n">
        <x:f>'Regime Engine'!N6*Data!B9</x:f>
        <x:v>-0.07689499999999999</x:v>
      </x:c>
      <x:c r="C6" s="74" t="n">
        <x:f>'Regime Engine'!O6*Data!C9</x:f>
        <x:v>-0.0036100000000000004</x:v>
      </x:c>
      <x:c r="D6" s="74" t="n">
        <x:f>'Regime Engine'!P6*Data!D9</x:f>
        <x:v>0.015120000000000001</x:v>
      </x:c>
      <x:c r="E6" s="74" t="n">
        <x:f>'Regime Engine'!Q6*Data!E9</x:f>
        <x:v>0.012060000000000001</x:v>
      </x:c>
      <x:c r="F6" s="74" t="n">
        <x:f>'Regime Engine'!R6*Data!F9</x:f>
        <x:v>0.00956</x:v>
      </x:c>
      <x:c r="G6" s="74" t="n">
        <x:f>'Regime Engine'!S6*Data!G9</x:f>
        <x:v>0.02557</x:v>
      </x:c>
      <x:c r="H6" s="74" t="n">
        <x:f>'Regime Engine'!T6*Data!H9</x:f>
        <x:v>0.00246</x:v>
      </x:c>
      <x:c r="I6" s="74" t="n">
        <x:f>SUM(B6:H6)</x:f>
        <x:v>-0.015735</x:v>
      </x:c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n">
        <x:v>2003</x:v>
      </x:c>
      <x:c r="B7" s="74" t="n">
        <x:f>'Regime Engine'!N7*Data!B10</x:f>
        <x:v>0.028360000000000003</x:v>
      </x:c>
      <x:c r="C7" s="74" t="n">
        <x:f>'Regime Engine'!O7*Data!C10</x:f>
        <x:v>0</x:v>
      </x:c>
      <x:c r="D7" s="74" t="n">
        <x:f>'Regime Engine'!P7*Data!D10</x:f>
        <x:v>0.00095</x:v>
      </x:c>
      <x:c r="E7" s="74" t="n">
        <x:f>'Regime Engine'!Q7*Data!E10</x:f>
        <x:v>0.02476</x:v>
      </x:c>
      <x:c r="F7" s="74" t="n">
        <x:f>'Regime Engine'!R7*Data!F10</x:f>
        <x:v>0.019620000000000002</x:v>
      </x:c>
      <x:c r="G7" s="74" t="n">
        <x:f>'Regime Engine'!S7*Data!G10</x:f>
        <x:v>0.03978</x:v>
      </x:c>
      <x:c r="H7" s="74" t="n">
        <x:f>'Regime Engine'!T7*Data!H10</x:f>
        <x:v>0.000515</x:v>
      </x:c>
      <x:c r="I7" s="74" t="n">
        <x:f>SUM(B7:H7)</x:f>
        <x:v>0.11398500000000002</x:v>
      </x:c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n">
        <x:v>2004</x:v>
      </x:c>
      <x:c r="B8" s="74" t="n">
        <x:f>'Regime Engine'!N8*Data!B11</x:f>
        <x:v>0.03759</x:v>
      </x:c>
      <x:c r="C8" s="74" t="n">
        <x:f>'Regime Engine'!O8*Data!C11</x:f>
        <x:v>0.0173</x:v>
      </x:c>
      <x:c r="D8" s="74" t="n">
        <x:f>'Regime Engine'!P8*Data!D11</x:f>
        <x:v>0.00449</x:v>
      </x:c>
      <x:c r="E8" s="74" t="n">
        <x:f>'Regime Engine'!Q8*Data!E11</x:f>
        <x:v>0.01033</x:v>
      </x:c>
      <x:c r="F8" s="74" t="n">
        <x:f>'Regime Engine'!R8*Data!F11</x:f>
        <x:v>0.01364</x:v>
      </x:c>
      <x:c r="G8" s="74" t="n">
        <x:f>'Regime Engine'!S8*Data!G11</x:f>
        <x:v>0.0046500000000000005</x:v>
      </x:c>
      <x:c r="H8" s="74" t="n">
        <x:f>'Regime Engine'!T8*Data!H11</x:f>
        <x:v>0.0021</x:v>
      </x:c>
      <x:c r="I8" s="74" t="n">
        <x:f>SUM(B8:H8)</x:f>
        <x:v>0.0901</x:v>
      </x:c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n">
        <x:v>2005</x:v>
      </x:c>
      <x:c r="B9" s="74" t="n">
        <x:f>'Regime Engine'!N9*Data!B12</x:f>
        <x:v>0.009660000000000002</x:v>
      </x:c>
      <x:c r="C9" s="74" t="n">
        <x:f>'Regime Engine'!O9*Data!C12</x:f>
        <x:v>0.0018900000000000002</x:v>
      </x:c>
      <x:c r="D9" s="74" t="n">
        <x:f>'Regime Engine'!P9*Data!D12</x:f>
        <x:v>0.00574</x:v>
      </x:c>
      <x:c r="E9" s="74" t="n">
        <x:f>'Regime Engine'!Q9*Data!E12</x:f>
        <x:v>0.007695</x:v>
      </x:c>
      <x:c r="F9" s="74" t="n">
        <x:f>'Regime Engine'!R9*Data!F12</x:f>
        <x:v>0.020265</x:v>
      </x:c>
      <x:c r="G9" s="74" t="n">
        <x:f>'Regime Engine'!S9*Data!G12</x:f>
        <x:v>0.026654999999999998</x:v>
      </x:c>
      <x:c r="H9" s="74" t="n">
        <x:f>'Regime Engine'!T9*Data!H12</x:f>
        <x:v>0.00322</x:v>
      </x:c>
      <x:c r="I9" s="74" t="n">
        <x:f>SUM(B9:H9)</x:f>
        <x:v>0.075125</x:v>
      </x:c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 t="n">
        <x:v>2006</x:v>
      </x:c>
      <x:c r="B10" s="74" t="n">
        <x:f>'Regime Engine'!N10*Data!B13</x:f>
        <x:v>0.015609999999999999</x:v>
      </x:c>
      <x:c r="C10" s="74" t="n">
        <x:f>'Regime Engine'!O10*Data!C13</x:f>
        <x:v>0</x:v>
      </x:c>
      <x:c r="D10" s="74" t="n">
        <x:f>'Regime Engine'!P10*Data!D13</x:f>
        <x:v>0.0049</x:v>
      </x:c>
      <x:c r="E10" s="74" t="n">
        <x:f>'Regime Engine'!Q10*Data!E13</x:f>
        <x:v>0.01054</x:v>
      </x:c>
      <x:c r="F10" s="74" t="n">
        <x:f>'Regime Engine'!R10*Data!F13</x:f>
        <x:v>0.00346</x:v>
      </x:c>
      <x:c r="G10" s="74" t="n">
        <x:f>'Regime Engine'!S10*Data!G13</x:f>
        <x:v>0.046400000000000004</x:v>
      </x:c>
      <x:c r="H10" s="74" t="n">
        <x:f>'Regime Engine'!T10*Data!H13</x:f>
        <x:v>0.002425</x:v>
      </x:c>
      <x:c r="I10" s="74" t="n">
        <x:f>SUM(B10:H10)</x:f>
        <x:v>0.083335</x:v>
      </x:c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n">
        <x:v>2007</x:v>
      </x:c>
      <x:c r="B11" s="74" t="n">
        <x:f>'Regime Engine'!N11*Data!B14</x:f>
        <x:v>0.010960000000000001</x:v>
      </x:c>
      <x:c r="C11" s="74" t="n">
        <x:f>'Regime Engine'!O11*Data!C14</x:f>
        <x:v>-0.004555</x:v>
      </x:c>
      <x:c r="D11" s="74" t="n">
        <x:f>'Regime Engine'!P11*Data!D14</x:f>
        <x:v>0.02042</x:v>
      </x:c>
      <x:c r="E11" s="74" t="n">
        <x:f>'Regime Engine'!Q11*Data!E14</x:f>
        <x:v>0.00735</x:v>
      </x:c>
      <x:c r="F11" s="74" t="n">
        <x:f>'Regime Engine'!R11*Data!F14</x:f>
        <x:v>-0.0081</x:v>
      </x:c>
      <x:c r="G11" s="74" t="n">
        <x:f>'Regime Engine'!S11*Data!G14</x:f>
        <x:v>0.04788</x:v>
      </x:c>
      <x:c r="H11" s="74" t="n">
        <x:f>'Regime Engine'!T11*Data!H14</x:f>
        <x:v>0.0044800000000000005</x:v>
      </x:c>
      <x:c r="I11" s="74" t="n">
        <x:f>SUM(B11:H11)</x:f>
        <x:v>0.078435</x:v>
      </x:c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 t="n">
        <x:v>2008</x:v>
      </x:c>
      <x:c r="B12" s="74" t="n">
        <x:f>'Regime Engine'!N12*Data!B15</x:f>
        <x:v>-0.0731</x:v>
      </x:c>
      <x:c r="C12" s="74" t="n">
        <x:f>'Regime Engine'!O12*Data!C15</x:f>
        <x:v>-0.02234</x:v>
      </x:c>
      <x:c r="D12" s="74" t="n">
        <x:f>'Regime Engine'!P12*Data!D15</x:f>
        <x:v>0.04020000000000001</x:v>
      </x:c>
      <x:c r="E12" s="74" t="n">
        <x:f>'Regime Engine'!Q12*Data!E15</x:f>
        <x:v>-0.00516</x:v>
      </x:c>
      <x:c r="F12" s="74" t="n">
        <x:f>'Regime Engine'!R12*Data!F15</x:f>
        <x:v>-0.018</x:v>
      </x:c>
      <x:c r="G12" s="74" t="n">
        <x:f>'Regime Engine'!S12*Data!G15</x:f>
        <x:v>0.0064800000000000005</x:v>
      </x:c>
      <x:c r="H12" s="74" t="n">
        <x:f>'Regime Engine'!T12*Data!H15</x:f>
        <x:v>0.0014000000000000002</x:v>
      </x:c>
      <x:c r="I12" s="74" t="n">
        <x:f>SUM(B12:H12)</x:f>
        <x:v>-0.07051999999999999</x:v>
      </x:c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 t="n">
        <x:v>2009</x:v>
      </x:c>
      <x:c r="B13" s="74" t="n">
        <x:f>'Regime Engine'!N13*Data!B16</x:f>
        <x:v>0.025940000000000005</x:v>
      </x:c>
      <x:c r="C13" s="74" t="n">
        <x:f>'Regime Engine'!O13*Data!C16</x:f>
        <x:v>0</x:v>
      </x:c>
      <x:c r="D13" s="74" t="n">
        <x:f>'Regime Engine'!P13*Data!D16</x:f>
        <x:v>-0.0278</x:v>
      </x:c>
      <x:c r="E13" s="74" t="n">
        <x:f>'Regime Engine'!Q13*Data!E16</x:f>
        <x:v>0.039920000000000004</x:v>
      </x:c>
      <x:c r="F13" s="74" t="n">
        <x:f>'Regime Engine'!R13*Data!F16</x:f>
        <x:v>-0.0077</x:v>
      </x:c>
      <x:c r="G13" s="74" t="n">
        <x:f>'Regime Engine'!S13*Data!G16</x:f>
        <x:v>0.050080000000000006</x:v>
      </x:c>
      <x:c r="H13" s="74" t="n">
        <x:f>'Regime Engine'!T13*Data!H16</x:f>
        <x:v>0.00007500000000000001</x:v>
      </x:c>
      <x:c r="I13" s="74" t="n">
        <x:f>SUM(B13:H13)</x:f>
        <x:v>0.08051500000000002</x:v>
      </x:c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 t="n">
        <x:v>2010</x:v>
      </x:c>
      <x:c r="B14" s="74" t="n">
        <x:f>'Regime Engine'!N14*Data!B17</x:f>
        <x:v>0.05187</x:v>
      </x:c>
      <x:c r="C14" s="74" t="n">
        <x:f>'Regime Engine'!O14*Data!C17</x:f>
        <x:v>0.02773</x:v>
      </x:c>
      <x:c r="D14" s="74" t="n">
        <x:f>'Regime Engine'!P14*Data!D17</x:f>
        <x:v>0.00846</x:v>
      </x:c>
      <x:c r="E14" s="74" t="n">
        <x:f>'Regime Engine'!Q14*Data!E17</x:f>
        <x:v>0.0094</x:v>
      </x:c>
      <x:c r="F14" s="74" t="n">
        <x:f>'Regime Engine'!R14*Data!F17</x:f>
        <x:v>-0.00412</x:v>
      </x:c>
      <x:c r="G14" s="74" t="n">
        <x:f>'Regime Engine'!S14*Data!G17</x:f>
        <x:v>0.029240000000000002</x:v>
      </x:c>
      <x:c r="H14" s="74" t="n">
        <x:f>'Regime Engine'!T14*Data!H17</x:f>
        <x:v>0.00020999999999999998</x:v>
      </x:c>
      <x:c r="I14" s="74" t="n">
        <x:f>SUM(B14:H14)</x:f>
        <x:v>0.12279000000000001</x:v>
      </x:c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 t="n">
        <x:v>2011</x:v>
      </x:c>
      <x:c r="B15" s="74" t="n">
        <x:f>'Regime Engine'!N15*Data!B18</x:f>
        <x:v>0.004200000000000001</x:v>
      </x:c>
      <x:c r="C15" s="74" t="n">
        <x:f>'Regime Engine'!O15*Data!C18</x:f>
        <x:v>-0.00702</x:v>
      </x:c>
      <x:c r="D15" s="74" t="n">
        <x:f>'Regime Engine'!P15*Data!D18</x:f>
        <x:v>0.03208</x:v>
      </x:c>
      <x:c r="E15" s="74" t="n">
        <x:f>'Regime Engine'!Q15*Data!E18</x:f>
        <x:v>0.01839</x:v>
      </x:c>
      <x:c r="F15" s="74" t="n">
        <x:f>'Regime Engine'!R15*Data!F18</x:f>
        <x:v>-0.005834999999999999</x:v>
      </x:c>
      <x:c r="G15" s="74" t="n">
        <x:f>'Regime Engine'!S15*Data!G18</x:f>
        <x:v>0.01803</x:v>
      </x:c>
      <x:c r="H15" s="74" t="n">
        <x:f>'Regime Engine'!T15*Data!H18</x:f>
        <x:v>0.00005</x:v>
      </x:c>
      <x:c r="I15" s="74" t="n">
        <x:f>SUM(B15:H15)</x:f>
        <x:v>0.059895</x:v>
      </x:c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 t="n">
        <x:v>2012</x:v>
      </x:c>
      <x:c r="B16" s="74" t="n">
        <x:f>'Regime Engine'!N16*Data!B19</x:f>
        <x:v>0.01589</x:v>
      </x:c>
      <x:c r="C16" s="74" t="n">
        <x:f>'Regime Engine'!O16*Data!C19</x:f>
        <x:v>0</x:v>
      </x:c>
      <x:c r="D16" s="74" t="n">
        <x:f>'Regime Engine'!P16*Data!D19</x:f>
        <x:v>0.007425</x:v>
      </x:c>
      <x:c r="E16" s="74" t="n">
        <x:f>'Regime Engine'!Q16*Data!E19</x:f>
        <x:v>0.0188</x:v>
      </x:c>
      <x:c r="F16" s="74" t="n">
        <x:f>'Regime Engine'!R16*Data!F19</x:f>
        <x:v>0.01288</x:v>
      </x:c>
      <x:c r="G16" s="74" t="n">
        <x:f>'Regime Engine'!S16*Data!G19</x:f>
        <x:v>0.011360000000000002</x:v>
      </x:c>
      <x:c r="H16" s="74" t="n">
        <x:f>'Regime Engine'!T16*Data!H19</x:f>
        <x:v>0.000045</x:v>
      </x:c>
      <x:c r="I16" s="74" t="n">
        <x:f>SUM(B16:H16)</x:f>
        <x:v>0.0664</x:v>
      </x:c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 t="n">
        <x:v>2013</x:v>
      </x:c>
      <x:c r="B17" s="74" t="n">
        <x:f>'Regime Engine'!N17*Data!B20</x:f>
        <x:v>0.112525</x:v>
      </x:c>
      <x:c r="C17" s="74" t="n">
        <x:f>'Regime Engine'!O17*Data!C20</x:f>
        <x:v>0.050300000000000004</x:v>
      </x:c>
      <x:c r="D17" s="74" t="n">
        <x:f>'Regime Engine'!P17*Data!D20</x:f>
        <x:v>-0.0091</x:v>
      </x:c>
      <x:c r="E17" s="74" t="n">
        <x:f>'Regime Engine'!Q17*Data!E20</x:f>
        <x:v>-0.00113</x:v>
      </x:c>
      <x:c r="F17" s="74" t="n">
        <x:f>'Regime Engine'!R17*Data!F20</x:f>
        <x:v>0.01072</x:v>
      </x:c>
      <x:c r="G17" s="74" t="n">
        <x:f>'Regime Engine'!S17*Data!G20</x:f>
        <x:v>-0.027610000000000003</x:v>
      </x:c>
      <x:c r="H17" s="74" t="n">
        <x:f>'Regime Engine'!T17*Data!H20</x:f>
        <x:v>0.00008999999999999999</x:v>
      </x:c>
      <x:c r="I17" s="74" t="n">
        <x:f>SUM(B17:H17)</x:f>
        <x:v>0.13579500000000003</x:v>
      </x:c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 t="n">
        <x:v>2014</x:v>
      </x:c>
      <x:c r="B18" s="74" t="n">
        <x:f>'Regime Engine'!N18*Data!B21</x:f>
        <x:v>0.047319999999999994</x:v>
      </x:c>
      <x:c r="C18" s="74" t="n">
        <x:f>'Regime Engine'!O18*Data!C21</x:f>
        <x:v>0.0015300000000000001</x:v>
      </x:c>
      <x:c r="D18" s="74" t="n">
        <x:f>'Regime Engine'!P18*Data!D21</x:f>
        <x:v>0.010750000000000001</x:v>
      </x:c>
      <x:c r="E18" s="74" t="n">
        <x:f>'Regime Engine'!Q18*Data!E21</x:f>
        <x:v>0.010750000000000001</x:v>
      </x:c>
      <x:c r="F18" s="74" t="n">
        <x:f>'Regime Engine'!R18*Data!F21</x:f>
        <x:v>0.0045</x:v>
      </x:c>
      <x:c r="G18" s="74" t="n">
        <x:f>'Regime Engine'!S18*Data!G21</x:f>
        <x:v>0.00011999999999999999</x:v>
      </x:c>
      <x:c r="H18" s="74" t="n">
        <x:f>'Regime Engine'!T18*Data!H21</x:f>
        <x:v>0.000044999999999999996</x:v>
      </x:c>
      <x:c r="I18" s="74" t="n">
        <x:f>SUM(B18:H18)</x:f>
        <x:v>0.075015</x:v>
      </x:c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 t="n">
        <x:v>2015</x:v>
      </x:c>
      <x:c r="B19" s="74" t="n">
        <x:f>'Regime Engine'!N19*Data!B22</x:f>
        <x:v>0.00414</x:v>
      </x:c>
      <x:c r="C19" s="74" t="n">
        <x:f>'Regime Engine'!O19*Data!C22</x:f>
        <x:v>-0.009120000000000001</x:v>
      </x:c>
      <x:c r="D19" s="74" t="n">
        <x:f>'Regime Engine'!P19*Data!D22</x:f>
        <x:v>0.00192</x:v>
      </x:c>
      <x:c r="E19" s="74" t="n">
        <x:f>'Regime Engine'!Q19*Data!E22</x:f>
        <x:v>-0.0015</x:v>
      </x:c>
      <x:c r="F19" s="74" t="n">
        <x:f>'Regime Engine'!R19*Data!F22</x:f>
        <x:v>0.00519</x:v>
      </x:c>
      <x:c r="G19" s="74" t="n">
        <x:f>'Regime Engine'!S19*Data!G22</x:f>
        <x:v>-0.012110000000000001</x:v>
      </x:c>
      <x:c r="H19" s="74" t="n">
        <x:f>'Regime Engine'!T19*Data!H22</x:f>
        <x:v>0.000075</x:v>
      </x:c>
      <x:c r="I19" s="74" t="n">
        <x:f>SUM(B19:H19)</x:f>
        <x:v>-0.011405000000000002</x:v>
      </x:c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 t="n">
        <x:v>2016</x:v>
      </x:c>
      <x:c r="B20" s="74" t="n">
        <x:f>'Regime Engine'!N20*Data!B23</x:f>
        <x:v>0.023540000000000002</x:v>
      </x:c>
      <x:c r="C20" s="74" t="n">
        <x:f>'Regime Engine'!O20*Data!C23</x:f>
        <x:v>0.00851</x:v>
      </x:c>
      <x:c r="D20" s="74" t="n">
        <x:f>'Regime Engine'!P20*Data!D23</x:f>
        <x:v>0.0013800000000000002</x:v>
      </x:c>
      <x:c r="E20" s="74" t="n">
        <x:f>'Regime Engine'!Q20*Data!E23</x:f>
        <x:v>0.01728</x:v>
      </x:c>
      <x:c r="F20" s="74" t="n">
        <x:f>'Regime Engine'!R20*Data!F23</x:f>
        <x:v>0.007965</x:v>
      </x:c>
      <x:c r="G20" s="74" t="n">
        <x:f>'Regime Engine'!S20*Data!G23</x:f>
        <x:v>0.01215</x:v>
      </x:c>
      <x:c r="H20" s="74" t="n">
        <x:f>'Regime Engine'!T20*Data!H23</x:f>
        <x:v>0.00032</x:v>
      </x:c>
      <x:c r="I20" s="74" t="n">
        <x:f>SUM(B20:H20)</x:f>
        <x:v>0.071145</x:v>
      </x:c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 t="n">
        <x:v>2017</x:v>
      </x:c>
      <x:c r="B21" s="74" t="n">
        <x:f>'Regime Engine'!N21*Data!B24</x:f>
        <x:v>0.075635</x:v>
      </x:c>
      <x:c r="C21" s="74" t="n">
        <x:f>'Regime Engine'!O21*Data!C24</x:f>
        <x:v>0.01513</x:v>
      </x:c>
      <x:c r="D21" s="74" t="n">
        <x:f>'Regime Engine'!P21*Data!D24</x:f>
        <x:v>0.0028000000000000004</x:v>
      </x:c>
      <x:c r="E21" s="74" t="n">
        <x:f>'Regime Engine'!Q21*Data!E24</x:f>
        <x:v>0.00915</x:v>
      </x:c>
      <x:c r="F21" s="74" t="n">
        <x:f>'Regime Engine'!R21*Data!F24</x:f>
        <x:v>0.00621</x:v>
      </x:c>
      <x:c r="G21" s="74" t="n">
        <x:f>'Regime Engine'!S21*Data!G24</x:f>
        <x:v>0.01266</x:v>
      </x:c>
      <x:c r="H21" s="74" t="n">
        <x:f>'Regime Engine'!T21*Data!H24</x:f>
        <x:v>0.0014249999999999998</x:v>
      </x:c>
      <x:c r="I21" s="74" t="n">
        <x:f>SUM(B21:H21)</x:f>
        <x:v>0.12301</x:v>
      </x:c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 t="n">
        <x:v>2018</x:v>
      </x:c>
      <x:c r="B22" s="74" t="n">
        <x:f>'Regime Engine'!N22*Data!B25</x:f>
        <x:v>-0.00846</x:v>
      </x:c>
      <x:c r="C22" s="74" t="n">
        <x:f>'Regime Engine'!O22*Data!C25</x:f>
        <x:v>-0.008105</x:v>
      </x:c>
      <x:c r="D22" s="74" t="n">
        <x:f>'Regime Engine'!P22*Data!D25</x:f>
        <x:v>-0.00004</x:v>
      </x:c>
      <x:c r="E22" s="74" t="n">
        <x:f>'Regime Engine'!Q22*Data!E25</x:f>
        <x:v>-0.00477</x:v>
      </x:c>
      <x:c r="F22" s="74" t="n">
        <x:f>'Regime Engine'!R22*Data!F25</x:f>
        <x:v>0.00678</x:v>
      </x:c>
      <x:c r="G22" s="74" t="n">
        <x:f>'Regime Engine'!S22*Data!G25</x:f>
        <x:v>-0.0013949999999999998</x:v>
      </x:c>
      <x:c r="H22" s="74" t="n">
        <x:f>'Regime Engine'!T22*Data!H25</x:f>
        <x:v>0.00197</x:v>
      </x:c>
      <x:c r="I22" s="74" t="n">
        <x:f>SUM(B22:H22)</x:f>
        <x:v>-0.014019999999999998</x:v>
      </x:c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 t="n">
        <x:v>2019</x:v>
      </x:c>
      <x:c r="B23" s="74" t="n">
        <x:f>'Regime Engine'!N23*Data!B26</x:f>
        <x:v>0.03121</x:v>
      </x:c>
      <x:c r="C23" s="74" t="n">
        <x:f>'Regime Engine'!O23*Data!C26</x:f>
        <x:v>0</x:v>
      </x:c>
      <x:c r="D23" s="74" t="n">
        <x:f>'Regime Engine'!P23*Data!D26</x:f>
        <x:v>0.0241</x:v>
      </x:c>
      <x:c r="E23" s="74" t="n">
        <x:f>'Regime Engine'!Q23*Data!E26</x:f>
        <x:v>0.0305</x:v>
      </x:c>
      <x:c r="F23" s="74" t="n">
        <x:f>'Regime Engine'!R23*Data!F26</x:f>
        <x:v>0.007380000000000001</x:v>
      </x:c>
      <x:c r="G23" s="74" t="n">
        <x:f>'Regime Engine'!S23*Data!G26</x:f>
        <x:v>0.03816</x:v>
      </x:c>
      <x:c r="H23" s="74" t="n">
        <x:f>'Regime Engine'!T23*Data!H26</x:f>
        <x:v>0.0010550000000000002</x:v>
      </x:c>
      <x:c r="I23" s="74" t="n">
        <x:f>SUM(B23:H23)</x:f>
        <x:v>0.132405</x:v>
      </x:c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 t="n">
        <x:v>2020</x:v>
      </x:c>
      <x:c r="B24" s="74" t="n">
        <x:f>'Regime Engine'!N24*Data!B27</x:f>
        <x:v>0.06307</x:v>
      </x:c>
      <x:c r="C24" s="74" t="n">
        <x:f>'Regime Engine'!O24*Data!C27</x:f>
        <x:v>0.03416</x:v>
      </x:c>
      <x:c r="D24" s="74" t="n">
        <x:f>'Regime Engine'!P24*Data!D27</x:f>
        <x:v>0.01133</x:v>
      </x:c>
      <x:c r="E24" s="74" t="n">
        <x:f>'Regime Engine'!Q24*Data!E27</x:f>
        <x:v>0.0106</x:v>
      </x:c>
      <x:c r="F24" s="74" t="n">
        <x:f>'Regime Engine'!R24*Data!F27</x:f>
        <x:v>0.010430000000000002</x:v>
      </x:c>
      <x:c r="G24" s="74" t="n">
        <x:f>'Regime Engine'!S24*Data!G27</x:f>
        <x:v>0.02417</x:v>
      </x:c>
      <x:c r="H24" s="74" t="n">
        <x:f>'Regime Engine'!T24*Data!H27</x:f>
        <x:v>0.00054</x:v>
      </x:c>
      <x:c r="I24" s="74" t="n">
        <x:f>SUM(B24:H24)</x:f>
        <x:v>0.15430000000000002</x:v>
      </x:c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 t="n">
        <x:v>2021</x:v>
      </x:c>
      <x:c r="B25" s="74" t="n">
        <x:f>'Regime Engine'!N25*Data!B28</x:f>
        <x:v>0.099645</x:v>
      </x:c>
      <x:c r="C25" s="74" t="n">
        <x:f>'Regime Engine'!O25*Data!C28</x:f>
        <x:v>0.02241</x:v>
      </x:c>
      <x:c r="D25" s="74" t="n">
        <x:f>'Regime Engine'!P25*Data!D28</x:f>
        <x:v>-0.00442</x:v>
      </x:c>
      <x:c r="E25" s="74" t="n">
        <x:f>'Regime Engine'!Q25*Data!E28</x:f>
        <x:v>0.00102</x:v>
      </x:c>
      <x:c r="F25" s="74" t="n">
        <x:f>'Regime Engine'!R25*Data!F28</x:f>
        <x:v>0.018860000000000002</x:v>
      </x:c>
      <x:c r="G25" s="74" t="n">
        <x:f>'Regime Engine'!S25*Data!G28</x:f>
        <x:v>-0.00375</x:v>
      </x:c>
      <x:c r="H25" s="74" t="n">
        <x:f>'Regime Engine'!T25*Data!H28</x:f>
        <x:v>0.00006</x:v>
      </x:c>
      <x:c r="I25" s="74" t="n">
        <x:f>SUM(B25:H25)</x:f>
        <x:v>0.133825</x:v>
      </x:c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 t="n">
        <x:v>2022</x:v>
      </x:c>
      <x:c r="B26" s="74" t="n">
        <x:f>'Regime Engine'!N26*Data!B29</x:f>
        <x:v>-0.06314</x:v>
      </x:c>
      <x:c r="C26" s="74" t="n">
        <x:f>'Regime Engine'!O26*Data!C29</x:f>
        <x:v>-0.022900000000000004</x:v>
      </x:c>
      <x:c r="D26" s="74" t="n">
        <x:f>'Regime Engine'!P26*Data!D29</x:f>
        <x:v>-0.01783</x:v>
      </x:c>
      <x:c r="E26" s="74" t="n">
        <x:f>'Regime Engine'!Q26*Data!E29</x:f>
        <x:v>-0.01523</x:v>
      </x:c>
      <x:c r="F26" s="74" t="n">
        <x:f>'Regime Engine'!R26*Data!F29</x:f>
        <x:v>0.0056500000000000005</x:v>
      </x:c>
      <x:c r="G26" s="74" t="n">
        <x:f>'Regime Engine'!S26*Data!G29</x:f>
        <x:v>0.00055</x:v>
      </x:c>
      <x:c r="H26" s="74" t="n">
        <x:f>'Regime Engine'!T26*Data!H29</x:f>
        <x:v>0.0031349999999999998</x:v>
      </x:c>
      <x:c r="I26" s="74" t="n">
        <x:f>SUM(B26:H26)</x:f>
        <x:v>-0.10976500000000002</x:v>
      </x:c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 t="n">
        <x:v>2023</x:v>
      </x:c>
      <x:c r="B27" s="74" t="n">
        <x:f>'Regime Engine'!N27*Data!B30</x:f>
        <x:v>0.02606</x:v>
      </x:c>
      <x:c r="C27" s="74" t="n">
        <x:f>'Regime Engine'!O27*Data!C30</x:f>
        <x:v>0</x:v>
      </x:c>
      <x:c r="D27" s="74" t="n">
        <x:f>'Regime Engine'!P27*Data!D30</x:f>
        <x:v>0.0097</x:v>
      </x:c>
      <x:c r="E27" s="74" t="n">
        <x:f>'Regime Engine'!Q27*Data!E30</x:f>
        <x:v>0.017480000000000002</x:v>
      </x:c>
      <x:c r="F27" s="74" t="n">
        <x:f>'Regime Engine'!R27*Data!F30</x:f>
        <x:v>0.011360000000000002</x:v>
      </x:c>
      <x:c r="G27" s="74" t="n">
        <x:f>'Regime Engine'!S27*Data!G30</x:f>
        <x:v>0.026520000000000002</x:v>
      </x:c>
      <x:c r="H27" s="74" t="n">
        <x:f>'Regime Engine'!T27*Data!H30</x:f>
        <x:v>0.00264</x:v>
      </x:c>
      <x:c r="I27" s="74" t="n">
        <x:f>SUM(B27:H27)</x:f>
        <x:v>0.09376000000000001</x:v>
      </x:c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 t="n">
        <x:v>2024</x:v>
      </x:c>
      <x:c r="B28" s="74" t="n">
        <x:f>'Regime Engine'!N28*Data!B31</x:f>
        <x:v>0.08707999999999999</x:v>
      </x:c>
      <x:c r="C28" s="74" t="n">
        <x:f>'Regime Engine'!O28*Data!C31</x:f>
        <x:v>0.0087</x:v>
      </x:c>
      <x:c r="D28" s="74" t="n">
        <x:f>'Regime Engine'!P28*Data!D31</x:f>
        <x:v>-0.0016400000000000002</x:v>
      </x:c>
      <x:c r="E28" s="74" t="n">
        <x:f>'Regime Engine'!Q28*Data!E31</x:f>
        <x:v>0.00174</x:v>
      </x:c>
      <x:c r="F28" s="74" t="n">
        <x:f>'Regime Engine'!R28*Data!F31</x:f>
        <x:v>0.003960000000000001</x:v>
      </x:c>
      <x:c r="G28" s="74" t="n">
        <x:f>'Regime Engine'!S28*Data!G31</x:f>
        <x:v>0.02596</x:v>
      </x:c>
      <x:c r="H28" s="74" t="n">
        <x:f>'Regime Engine'!T28*Data!H31</x:f>
        <x:v>0.007769999999999999</x:v>
      </x:c>
      <x:c r="I28" s="74" t="n">
        <x:f>SUM(B28:H28)</x:f>
        <x:v>0.13357</x:v>
      </x:c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 t="n">
        <x:v>2025</x:v>
      </x:c>
      <x:c r="B29" s="74" t="n">
        <x:f>'Regime Engine'!N29*Data!B32</x:f>
        <x:v>0.06223</x:v>
      </x:c>
      <x:c r="C29" s="74" t="n">
        <x:f>'Regime Engine'!O29*Data!C32</x:f>
        <x:v>0.01653</x:v>
      </x:c>
      <x:c r="D29" s="74" t="n">
        <x:f>'Regime Engine'!P29*Data!D32</x:f>
        <x:v>0.0078000000000000005</x:v>
      </x:c>
      <x:c r="E29" s="74" t="n">
        <x:f>'Regime Engine'!Q29*Data!E32</x:f>
        <x:v>0.00696</x:v>
      </x:c>
      <x:c r="F29" s="74" t="n">
        <x:f>'Regime Engine'!R29*Data!F32</x:f>
        <x:v>0.0015800000000000002</x:v>
      </x:c>
      <x:c r="G29" s="74" t="n">
        <x:f>'Regime Engine'!S29*Data!G32</x:f>
        <x:v>0.06622</x:v>
      </x:c>
      <x:c r="H29" s="74" t="n">
        <x:f>'Regime Engine'!T29*Data!H32</x:f>
        <x:v>0.006314999999999999</x:v>
      </x:c>
      <x:c r="I29" s="74" t="n">
        <x:f>SUM(B29:H29)</x:f>
        <x:v>0.16763499999999998</x:v>
      </x:c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8" max="8" width="13" hidden="0" customWidth="1"/>
  </x:cols>
  <x:sheetData>
    <x:row r="1" ht="28" customHeight="1">
      <x:c r="A1" s="98" t="str">
        <x:v>PORTFOLIO MODEL LAB | RISK PARITY, MIN VARIANCE, MAX SHARPE &amp; EFFICIENT FRONTIER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16" t="str">
        <x:v>Asset</x:v>
      </x:c>
      <x:c r="B3" s="16" t="str">
        <x:v>Historical Mean</x:v>
      </x:c>
      <x:c r="C3" s="16" t="str">
        <x:v>Historical Vol</x:v>
      </x:c>
      <x:c r="D3" s="16" t="str">
        <x:v>Risk-Parity Wt</x:v>
      </x:c>
      <x:c r="E3" s="16" t="str">
        <x:v>Min-Var Wt</x:v>
      </x:c>
      <x:c r="F3" s="16" t="str">
        <x:v>Max-Sharpe Wt</x:v>
      </x:c>
      <x:c r="G3" s="16" t="str">
        <x:v>Current Wt</x:v>
      </x:c>
      <x:c r="H3" s="16" t="str">
        <x:v>Notes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S&amp;P 500</x:v>
      </x:c>
      <x:c r="B4" s="118" t="n">
        <x:v>0.09575</x:v>
      </x:c>
      <x:c r="C4" s="118" t="n">
        <x:v>0.177918024382017</x:v>
      </x:c>
      <x:c r="D4" s="118" t="n">
        <x:v>0.10235240553090107</x:v>
      </x:c>
      <x:c r="E4" s="118" t="n">
        <x:v>0.03688199003515453</x:v>
      </x:c>
      <x:c r="F4" s="118" t="n">
        <x:v>0.02428815030083545</x:v>
      </x:c>
      <x:c r="G4" s="118" t="n">
        <x:v>0.3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US Small Cap</x:v>
      </x:c>
      <x:c r="B5" s="118" t="n">
        <x:v>0.11944999999999999</x:v>
      </x:c>
      <x:c r="C5" s="118" t="n">
        <x:v>0.26915660311424644</x:v>
      </x:c>
      <x:c r="D5" s="118" t="n">
        <x:v>0.06765703524306767</x:v>
      </x:c>
      <x:c r="E5" s="118" t="n">
        <x:v>0</x:v>
      </x:c>
      <x:c r="F5" s="118" t="n">
        <x:v>0.002151902696108091</x:v>
      </x:c>
      <x:c r="G5" s="118" t="n">
        <x:v>0.1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US 10Y T Bond</x:v>
      </x:c>
      <x:c r="B6" s="118" t="n">
        <x:v>0.04187307692307693</x:v>
      </x:c>
      <x:c r="C6" s="118" t="n">
        <x:v>0.08783947885861941</x:v>
      </x:c>
      <x:c r="D6" s="118" t="n">
        <x:v>0.20731381856346273</x:v>
      </x:c>
      <x:c r="E6" s="118" t="n">
        <x:v>0.19227282178455113</x:v>
      </x:c>
      <x:c r="F6" s="118" t="n">
        <x:v>0.1443177203530229</x:v>
      </x:c>
      <x:c r="G6" s="118" t="n">
        <x:v>0.15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Baa Corporate Bond</x:v>
      </x:c>
      <x:c r="B7" s="118" t="n">
        <x:v>0.06550769230769232</x:v>
      </x:c>
      <x:c r="C7" s="118" t="n">
        <x:v>0.0726196718421499</x:v>
      </x:c>
      <x:c r="D7" s="118" t="n">
        <x:v>0.25076315164832935</x:v>
      </x:c>
      <x:c r="E7" s="118" t="n">
        <x:v>0.20590459577185177</x:v>
      </x:c>
      <x:c r="F7" s="118" t="n">
        <x:v>0.19343747898863664</x:v>
      </x:c>
      <x:c r="G7" s="118" t="n">
        <x:v>0.1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US Real Estate</x:v>
      </x:c>
      <x:c r="B8" s="118" t="n">
        <x:v>0.04911538461538462</x:v>
      </x:c>
      <x:c r="C8" s="118" t="n">
        <x:v>0.06735685676934572</x:v>
      </x:c>
      <x:c r="D8" s="118" t="n">
        <x:v>0.2703561100715216</x:v>
      </x:c>
      <x:c r="E8" s="118" t="n">
        <x:v>0.5064399023453793</x:v>
      </x:c>
      <x:c r="F8" s="118" t="n">
        <x:v>0.4803357562313291</x:v>
      </x:c>
      <x:c r="G8" s="118" t="n">
        <x:v>0.1</x:v>
      </x:c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Gold</x:v>
      </x:c>
      <x:c r="B9" s="118" t="n">
        <x:v>0.12320384615384615</x:v>
      </x:c>
      <x:c r="C9" s="118" t="n">
        <x:v>0.17931065217832257</x:v>
      </x:c>
      <x:c r="D9" s="118" t="n">
        <x:v>0.10155747894271756</x:v>
      </x:c>
      <x:c r="E9" s="118" t="n">
        <x:v>0.05850069006306327</x:v>
      </x:c>
      <x:c r="F9" s="118" t="n">
        <x:v>0.15546899143006782</x:v>
      </x:c>
      <x:c r="G9" s="118" t="n">
        <x:v>0.1</x:v>
      </x:c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Cash</x:v>
      </x:c>
      <x:c r="B10" s="118" t="n">
        <x:v>0.019453846153846155</x:v>
      </x:c>
      <x:c r="C10" s="118" t="n">
        <x:v>0</x:v>
      </x:c>
      <x:c r="D10" s="118" t="n">
        <x:v>0</x:v>
      </x:c>
      <x:c r="E10" s="118" t="n">
        <x:v>0</x:v>
      </x:c>
      <x:c r="F10" s="118" t="n">
        <x:v>0</x:v>
      </x:c>
      <x:c r="G10" s="118" t="n">
        <x:v>0.15</x:v>
      </x:c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 ht="22" customHeight="1">
      <x:c r="A13" s="99" t="str">
        <x:v>CURRENT PORTFOLIO | EDIT BLUE WEIGHTS</x:v>
      </x:c>
      <x:c r="B13" s="99"/>
      <x:c r="C13" s="99"/>
      <x:c r="D13" s="99"/>
      <x:c r="E13" s="99"/>
      <x:c r="F13" s="99"/>
      <x:c r="G13" s="99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16" t="str">
        <x:v>Weight</x:v>
      </x:c>
      <x:c r="B14" s="16" t="str">
        <x:v>Value</x:v>
      </x:c>
      <x:c r="C14" s="81"/>
      <x:c r="D14" s="16" t="str">
        <x:v>Metric</x:v>
      </x:c>
      <x:c r="E14" s="16" t="str">
        <x:v>Value</x:v>
      </x:c>
      <x:c r="F14" s="81"/>
      <x:c r="G14" s="81"/>
      <x:c r="H14" s="81"/>
      <x:c r="I14" s="81"/>
      <x:c r="J14" s="16" t="str">
        <x:v>S&amp;P 500</x:v>
      </x:c>
      <x:c r="K14" s="16" t="str">
        <x:v>US Small Cap</x:v>
      </x:c>
      <x:c r="L14" s="16" t="str">
        <x:v>US 10Y T Bond</x:v>
      </x:c>
      <x:c r="M14" s="16" t="str">
        <x:v>Baa Corporate Bond</x:v>
      </x:c>
      <x:c r="N14" s="16" t="str">
        <x:v>US Real Estate</x:v>
      </x:c>
      <x:c r="O14" s="16" t="str">
        <x:v>Gold</x:v>
      </x:c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S&amp;P 500</x:v>
      </x:c>
      <x:c r="B15" s="122" t="n">
        <x:v>0.3</x:v>
      </x:c>
      <x:c r="C15" s="81"/>
      <x:c r="D15" s="81" t="str">
        <x:v>Expected return</x:v>
      </x:c>
      <x:c r="E15" s="118" t="n">
        <x:f>SUMPRODUCT(B15:B21,B4:B10)</x:f>
        <x:v>0.07365173076923077</x:v>
      </x:c>
      <x:c r="F15" s="81"/>
      <x:c r="G15" s="81"/>
      <x:c r="H15" s="81"/>
      <x:c r="I15" s="81"/>
      <x:c r="J15" s="119" t="n">
        <x:v>0.031654823400000004</x:v>
      </x:c>
      <x:c r="K15" s="119" t="n">
        <x:v>0.033098730999999985</x:v>
      </x:c>
      <x:c r="L15" s="119" t="n">
        <x:v>-0.0057016426</x:v>
      </x:c>
      <x:c r="M15" s="119" t="n">
        <x:v>0.0051629508000000015</x:v>
      </x:c>
      <x:c r="N15" s="119" t="n">
        <x:v>0.0034655868</x:v>
      </x:c>
      <x:c r="O15" s="119" t="n">
        <x:v>0.0049679322000000005</x:v>
      </x:c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US Small Cap</x:v>
      </x:c>
      <x:c r="B16" s="122" t="n">
        <x:v>0.1</x:v>
      </x:c>
      <x:c r="C16" s="81"/>
      <x:c r="D16" s="81" t="str">
        <x:v>Portfolio volatility</x:v>
      </x:c>
      <x:c r="E16" s="118" t="n">
        <x:f>SQRT(B15*($J$15*B15+$K$15*B16+$L$15*B17+$M$15*B18+$N$15*B19+$O$15*B20)+B16*($J$16*B15+$K$16*B16+$L$16*B17+$M$16*B18+$N$16*B19+$O$16*B20)+B17*($J$17*B15+$K$17*B16+$L$17*B17+$M$17*B18+$N$17*B19+$O$17*B20)+B18*($J$18*B15+$K$18*B16+$L$18*B17+$M$18*B18+$N$18*B19+$O$18*B20)+B19*($J$19*B15+$K$19*B16+$L$19*B17+$M$19*B18+$N$19*B19+$O$19*B20)+B20*($J$20*B15+$K$20*B16+$L$20*B17+$M$20*B18+$N$20*B19+$O$20*B20))</x:f>
        <x:v>0.08234237161459089</x:v>
      </x:c>
      <x:c r="F16" s="81"/>
      <x:c r="G16" s="81"/>
      <x:c r="H16" s="81"/>
      <x:c r="I16" s="81"/>
      <x:c r="J16" s="119" t="n">
        <x:v>0.033098730999999985</x:v>
      </x:c>
      <x:c r="K16" s="119" t="n">
        <x:v>0.07244527699999999</x:v>
      </x:c>
      <x:c r="L16" s="119" t="n">
        <x:v>-0.008274949399999999</x:v>
      </x:c>
      <x:c r="M16" s="119" t="n">
        <x:v>0.009201537600000002</x:v>
      </x:c>
      <x:c r="N16" s="119" t="n">
        <x:v>0.0065774208</x:v>
      </x:c>
      <x:c r="O16" s="119" t="n">
        <x:v>0.0055902886</x:v>
      </x:c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US 10Y T Bond</x:v>
      </x:c>
      <x:c r="B17" s="122" t="n">
        <x:v>0.15</x:v>
      </x:c>
      <x:c r="C17" s="81"/>
      <x:c r="D17" s="81" t="str">
        <x:v>Sharpe ratio</x:v>
      </x:c>
      <x:c r="E17" s="119" t="n">
        <x:f>(E15-B10)/E16</x:f>
        <x:v>0.6582016470094101</x:v>
      </x:c>
      <x:c r="F17" s="81"/>
      <x:c r="G17" s="81"/>
      <x:c r="H17" s="81"/>
      <x:c r="I17" s="81"/>
      <x:c r="J17" s="119" t="n">
        <x:v>-0.0057016426</x:v>
      </x:c>
      <x:c r="K17" s="119" t="n">
        <x:v>-0.008274949399999999</x:v>
      </x:c>
      <x:c r="L17" s="119" t="n">
        <x:v>0.007715774046153845</x:v>
      </x:c>
      <x:c r="M17" s="119" t="n">
        <x:v>0.002358209415384615</x:v>
      </x:c>
      <x:c r="N17" s="119" t="n">
        <x:v>-0.0017870583692307692</x:v>
      </x:c>
      <x:c r="O17" s="119" t="n">
        <x:v>0.0037724681076923075</x:v>
      </x:c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Baa Corporate Bond</x:v>
      </x:c>
      <x:c r="B18" s="122" t="n">
        <x:v>0.1</x:v>
      </x:c>
      <x:c r="C18" s="81"/>
      <x:c r="D18" s="81" t="str">
        <x:v>Weight check</x:v>
      </x:c>
      <x:c r="E18" s="118" t="n">
        <x:f>SUM(B15:B21)</x:f>
        <x:v>1</x:v>
      </x:c>
      <x:c r="F18" s="81"/>
      <x:c r="G18" s="81"/>
      <x:c r="H18" s="81"/>
      <x:c r="I18" s="81"/>
      <x:c r="J18" s="119" t="n">
        <x:v>0.0051629508000000015</x:v>
      </x:c>
      <x:c r="K18" s="119" t="n">
        <x:v>0.009201537600000002</x:v>
      </x:c>
      <x:c r="L18" s="119" t="n">
        <x:v>0.002358209415384615</x:v>
      </x:c>
      <x:c r="M18" s="119" t="n">
        <x:v>0.005273616738461538</x:v>
      </x:c>
      <x:c r="N18" s="119" t="n">
        <x:v>-0.00009657732307692301</x:v>
      </x:c>
      <x:c r="O18" s="119" t="n">
        <x:v>0.004838927569230769</x:v>
      </x:c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US Real Estate</x:v>
      </x:c>
      <x:c r="B19" s="122" t="n">
        <x:v>0.1</x:v>
      </x:c>
      <x:c r="C19" s="81"/>
      <x:c r="D19" s="81"/>
      <x:c r="E19" s="81"/>
      <x:c r="F19" s="81"/>
      <x:c r="G19" s="81"/>
      <x:c r="H19" s="81"/>
      <x:c r="I19" s="81"/>
      <x:c r="J19" s="119" t="n">
        <x:v>0.0034655868</x:v>
      </x:c>
      <x:c r="K19" s="119" t="n">
        <x:v>0.0065774208</x:v>
      </x:c>
      <x:c r="L19" s="119" t="n">
        <x:v>-0.0017870583692307692</x:v>
      </x:c>
      <x:c r="M19" s="119" t="n">
        <x:v>-0.00009657732307692301</x:v>
      </x:c>
      <x:c r="N19" s="119" t="n">
        <x:v>0.004536946153846153</x:v>
      </x:c>
      <x:c r="O19" s="119" t="n">
        <x:v>-0.003960530461538461</x:v>
      </x:c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Gold</x:v>
      </x:c>
      <x:c r="B20" s="122" t="n">
        <x:v>0.1</x:v>
      </x:c>
      <x:c r="C20" s="81"/>
      <x:c r="D20" s="81"/>
      <x:c r="E20" s="81"/>
      <x:c r="F20" s="81"/>
      <x:c r="G20" s="81"/>
      <x:c r="H20" s="81"/>
      <x:c r="I20" s="81"/>
      <x:c r="J20" s="119" t="n">
        <x:v>0.0049679322000000005</x:v>
      </x:c>
      <x:c r="K20" s="119" t="n">
        <x:v>0.0055902886</x:v>
      </x:c>
      <x:c r="L20" s="119" t="n">
        <x:v>0.0037724681076923075</x:v>
      </x:c>
      <x:c r="M20" s="119" t="n">
        <x:v>0.004838927569230769</x:v>
      </x:c>
      <x:c r="N20" s="119" t="n">
        <x:v>-0.003960530461538461</x:v>
      </x:c>
      <x:c r="O20" s="119" t="n">
        <x:v>0.032152309984615386</x:v>
      </x:c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Cash</x:v>
      </x:c>
      <x:c r="B21" s="122" t="n">
        <x:v>0.15</x:v>
      </x:c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 ht="22" customHeight="1">
      <x:c r="A23" s="99" t="str">
        <x:v>COVARIANCE MATRIX | 2000–2025</x:v>
      </x:c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  <x:c r="N23" s="99"/>
      <x:c r="O23" s="99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16" t="str">
        <x:v>Covariance</x:v>
      </x:c>
      <x:c r="B24" s="16" t="str">
        <x:v>S&amp;P 500</x:v>
      </x:c>
      <x:c r="C24" s="16" t="str">
        <x:v>US Small Cap</x:v>
      </x:c>
      <x:c r="D24" s="16" t="str">
        <x:v>US 10Y T Bond</x:v>
      </x:c>
      <x:c r="E24" s="16" t="str">
        <x:v>Baa Corporate Bond</x:v>
      </x:c>
      <x:c r="F24" s="16" t="str">
        <x:v>US Real Estate</x:v>
      </x:c>
      <x:c r="G24" s="16" t="str">
        <x:v>Gold</x:v>
      </x:c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S&amp;P 500</x:v>
      </x:c>
      <x:c r="B25" s="119" t="n">
        <x:v>0.031654823400000004</x:v>
      </x:c>
      <x:c r="C25" s="119" t="n">
        <x:v>0.033098730999999985</x:v>
      </x:c>
      <x:c r="D25" s="119" t="n">
        <x:v>-0.0057016426</x:v>
      </x:c>
      <x:c r="E25" s="119" t="n">
        <x:v>0.0051629508000000015</x:v>
      </x:c>
      <x:c r="F25" s="119" t="n">
        <x:v>0.0034655868</x:v>
      </x:c>
      <x:c r="G25" s="119" t="n">
        <x:v>0.0049679322000000005</x:v>
      </x:c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US Small Cap</x:v>
      </x:c>
      <x:c r="B26" s="119" t="n">
        <x:v>0.033098730999999985</x:v>
      </x:c>
      <x:c r="C26" s="119" t="n">
        <x:v>0.07244527699999999</x:v>
      </x:c>
      <x:c r="D26" s="119" t="n">
        <x:v>-0.008274949399999999</x:v>
      </x:c>
      <x:c r="E26" s="119" t="n">
        <x:v>0.009201537600000002</x:v>
      </x:c>
      <x:c r="F26" s="119" t="n">
        <x:v>0.0065774208</x:v>
      </x:c>
      <x:c r="G26" s="119" t="n">
        <x:v>0.0055902886</x:v>
      </x:c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US 10Y T Bond</x:v>
      </x:c>
      <x:c r="B27" s="119" t="n">
        <x:v>-0.0057016426</x:v>
      </x:c>
      <x:c r="C27" s="119" t="n">
        <x:v>-0.008274949399999999</x:v>
      </x:c>
      <x:c r="D27" s="119" t="n">
        <x:v>0.007715774046153845</x:v>
      </x:c>
      <x:c r="E27" s="119" t="n">
        <x:v>0.002358209415384615</x:v>
      </x:c>
      <x:c r="F27" s="119" t="n">
        <x:v>-0.0017870583692307692</x:v>
      </x:c>
      <x:c r="G27" s="119" t="n">
        <x:v>0.0037724681076923075</x:v>
      </x:c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Baa Corporate Bond</x:v>
      </x:c>
      <x:c r="B28" s="119" t="n">
        <x:v>0.0051629508000000015</x:v>
      </x:c>
      <x:c r="C28" s="119" t="n">
        <x:v>0.009201537600000002</x:v>
      </x:c>
      <x:c r="D28" s="119" t="n">
        <x:v>0.002358209415384615</x:v>
      </x:c>
      <x:c r="E28" s="119" t="n">
        <x:v>0.005273616738461538</x:v>
      </x:c>
      <x:c r="F28" s="119" t="n">
        <x:v>-0.00009657732307692301</x:v>
      </x:c>
      <x:c r="G28" s="119" t="n">
        <x:v>0.004838927569230769</x:v>
      </x:c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US Real Estate</x:v>
      </x:c>
      <x:c r="B29" s="119" t="n">
        <x:v>0.0034655868</x:v>
      </x:c>
      <x:c r="C29" s="119" t="n">
        <x:v>0.0065774208</x:v>
      </x:c>
      <x:c r="D29" s="119" t="n">
        <x:v>-0.0017870583692307692</x:v>
      </x:c>
      <x:c r="E29" s="119" t="n">
        <x:v>-0.00009657732307692301</x:v>
      </x:c>
      <x:c r="F29" s="119" t="n">
        <x:v>0.004536946153846153</x:v>
      </x:c>
      <x:c r="G29" s="119" t="n">
        <x:v>-0.003960530461538461</x:v>
      </x:c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Gold</x:v>
      </x:c>
      <x:c r="B30" s="119" t="n">
        <x:v>0.0049679322000000005</x:v>
      </x:c>
      <x:c r="C30" s="119" t="n">
        <x:v>0.0055902886</x:v>
      </x:c>
      <x:c r="D30" s="119" t="n">
        <x:v>0.0037724681076923075</x:v>
      </x:c>
      <x:c r="E30" s="119" t="n">
        <x:v>0.004838927569230769</x:v>
      </x:c>
      <x:c r="F30" s="119" t="n">
        <x:v>-0.003960530461538461</x:v>
      </x:c>
      <x:c r="G30" s="119" t="n">
        <x:v>0.032152309984615386</x:v>
      </x:c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 ht="22" customHeight="1">
      <x:c r="A33" s="99" t="str">
        <x:v>REFERENCE OPTIMIZATION OUTPUTS</x:v>
      </x:c>
      <x:c r="B33" s="99"/>
      <x:c r="C33" s="99"/>
      <x:c r="D33" s="99"/>
      <x:c r="E33" s="99"/>
      <x:c r="F33" s="99"/>
      <x:c r="G33" s="99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16" t="str">
        <x:v>Model</x:v>
      </x:c>
      <x:c r="B34" s="16" t="str">
        <x:v>S&amp;P</x:v>
      </x:c>
      <x:c r="C34" s="16" t="str">
        <x:v>Small Cap</x:v>
      </x:c>
      <x:c r="D34" s="16" t="str">
        <x:v>10Y</x:v>
      </x:c>
      <x:c r="E34" s="16" t="str">
        <x:v>Baa</x:v>
      </x:c>
      <x:c r="F34" s="16" t="str">
        <x:v>RE</x:v>
      </x:c>
      <x:c r="G34" s="16" t="str">
        <x:v>Gold</x:v>
      </x:c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Risk parity</x:v>
      </x:c>
      <x:c r="B35" s="118" t="n">
        <x:v>0.10235240553090107</x:v>
      </x:c>
      <x:c r="C35" s="118" t="n">
        <x:v>0.06765703524306767</x:v>
      </x:c>
      <x:c r="D35" s="118" t="n">
        <x:v>0.20731381856346273</x:v>
      </x:c>
      <x:c r="E35" s="118" t="n">
        <x:v>0.25076315164832935</x:v>
      </x:c>
      <x:c r="F35" s="118" t="n">
        <x:v>0.2703561100715216</x:v>
      </x:c>
      <x:c r="G35" s="118" t="n">
        <x:v>0.10155747894271756</x:v>
      </x:c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Min variance</x:v>
      </x:c>
      <x:c r="B36" s="118" t="n">
        <x:v>0.03688199003515453</x:v>
      </x:c>
      <x:c r="C36" s="118" t="n">
        <x:v>0</x:v>
      </x:c>
      <x:c r="D36" s="118" t="n">
        <x:v>0.19227282178455113</x:v>
      </x:c>
      <x:c r="E36" s="118" t="n">
        <x:v>0.20590459577185177</x:v>
      </x:c>
      <x:c r="F36" s="118" t="n">
        <x:v>0.5064399023453793</x:v>
      </x:c>
      <x:c r="G36" s="118" t="n">
        <x:v>0.05850069006306327</x:v>
      </x:c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Max Sharpe</x:v>
      </x:c>
      <x:c r="B37" s="118" t="n">
        <x:v>0.02428815030083545</x:v>
      </x:c>
      <x:c r="C37" s="118" t="n">
        <x:v>0.002151902696108091</x:v>
      </x:c>
      <x:c r="D37" s="118" t="n">
        <x:v>0.1443177203530229</x:v>
      </x:c>
      <x:c r="E37" s="118" t="n">
        <x:v>0.19343747898863664</x:v>
      </x:c>
      <x:c r="F37" s="118" t="n">
        <x:v>0.4803357562313291</x:v>
      </x:c>
      <x:c r="G37" s="118" t="n">
        <x:v>0.15546899143006782</x:v>
      </x:c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 ht="22" customHeight="1">
      <x:c r="A40" s="99" t="str">
        <x:v>MODEL INTERPRETATION</x:v>
      </x:c>
      <x:c r="B40" s="99"/>
      <x:c r="C40" s="99"/>
      <x:c r="D40" s="99"/>
      <x:c r="E40" s="99"/>
      <x:c r="F40" s="99"/>
      <x:c r="G40" s="99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Risk parity</x:v>
      </x:c>
      <x:c r="B41" s="81" t="str">
        <x:v>Allocates more weight to lower-volatility sleeves so no single risk source dominates.</x:v>
      </x:c>
      <x:c r="C41" s="81" t="str"/>
      <x:c r="D41" s="81" t="str"/>
      <x:c r="E41" s="81" t="str"/>
      <x:c r="F41" s="81" t="str"/>
      <x:c r="G41" s="81" t="str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Min variance</x:v>
      </x:c>
      <x:c r="B42" s="81" t="str">
        <x:v>Seeks the lowest historical portfolio variance under a long-only constraint.</x:v>
      </x:c>
      <x:c r="C42" s="81" t="str"/>
      <x:c r="D42" s="81" t="str"/>
      <x:c r="E42" s="81" t="str"/>
      <x:c r="F42" s="81" t="str"/>
      <x:c r="G42" s="81" t="str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Max Sharpe</x:v>
      </x:c>
      <x:c r="B43" s="81" t="str">
        <x:v>Seeks the highest historical excess return per unit of volatility in this sample.</x:v>
      </x:c>
      <x:c r="C43" s="81" t="str"/>
      <x:c r="D43" s="81" t="str"/>
      <x:c r="E43" s="81" t="str"/>
      <x:c r="F43" s="81" t="str"/>
      <x:c r="G43" s="81" t="str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Current mix</x:v>
      </x:c>
      <x:c r="B44" s="81" t="str">
        <x:v>Editable blue cells let you test how changing the weights changes return/volatility.</x:v>
      </x:c>
      <x:c r="C44" s="81" t="str"/>
      <x:c r="D44" s="81" t="str"/>
      <x:c r="E44" s="81" t="str"/>
      <x:c r="F44" s="81" t="str"/>
      <x:c r="G44" s="81" t="str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Important</x:v>
      </x:c>
      <x:c r="B45" s="81" t="str">
        <x:v>Historical optimizers can overfit. They are decision tools, not forecasts.</x:v>
      </x:c>
      <x:c r="C45" s="81" t="str"/>
      <x:c r="D45" s="81" t="str"/>
      <x:c r="E45" s="81" t="str"/>
      <x:c r="F45" s="81" t="str"/>
      <x:c r="G45" s="81" t="str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 ht="22" customHeight="1">
      <x:c r="A48" s="99" t="str">
        <x:v>EFFICIENT FRONTIER SAMPLE | 2,500 RANDOM LONG-ONLY PORTFOLIOS</x:v>
      </x:c>
      <x:c r="B48" s="99"/>
      <x:c r="C48" s="99"/>
      <x:c r="D48" s="99"/>
      <x:c r="E48" s="99"/>
      <x:c r="F48" s="99"/>
      <x:c r="G48" s="99"/>
      <x:c r="H48" s="99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16" t="str">
        <x:v>Obs</x:v>
      </x:c>
      <x:c r="B49" s="16" t="str">
        <x:v>Return</x:v>
      </x:c>
      <x:c r="C49" s="16" t="str">
        <x:v>Volatility</x:v>
      </x:c>
      <x:c r="D49" s="16" t="str">
        <x:v>Sharpe</x:v>
      </x:c>
      <x:c r="E49" s="16" t="str">
        <x:v>S&amp;P</x:v>
      </x:c>
      <x:c r="F49" s="16" t="str">
        <x:v>Small</x:v>
      </x:c>
      <x:c r="G49" s="16" t="str">
        <x:v>10Y</x:v>
      </x:c>
      <x:c r="H49" s="16" t="str">
        <x:v>Baa</x:v>
      </x:c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n">
        <x:v>1</x:v>
      </x:c>
      <x:c r="B50" s="118" t="n">
        <x:v>0.08735027878292088</x:v>
      </x:c>
      <x:c r="C50" s="118" t="n">
        <x:v>0.08763613266242433</x:v>
      </x:c>
      <x:c r="D50" s="118" t="n">
        <x:v>0.7747538665428424</x:v>
      </x:c>
      <x:c r="E50" s="118" t="n">
        <x:v>0.09386365486726418</x:v>
      </x:c>
      <x:c r="F50" s="118" t="n">
        <x:v>0.053855991396933846</x:v>
      </x:c>
      <x:c r="G50" s="118" t="n">
        <x:v>0.04904202466100155</x:v>
      </x:c>
      <x:c r="H50" s="118" t="n">
        <x:v>0.4230304967790885</x:v>
      </x:c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n">
        <x:v>2</x:v>
      </x:c>
      <x:c r="B51" s="118" t="n">
        <x:v>0.08190679534923592</x:v>
      </x:c>
      <x:c r="C51" s="118" t="n">
        <x:v>0.11477062792259923</x:v>
      </x:c>
      <x:c r="D51" s="118" t="n">
        <x:v>0.5441544611702198</x:v>
      </x:c>
      <x:c r="E51" s="118" t="n">
        <x:v>0.05264031206284882</x:v>
      </x:c>
      <x:c r="F51" s="118" t="n">
        <x:v>0.3702053673307086</x:v>
      </x:c>
      <x:c r="G51" s="118" t="n">
        <x:v>0.17007368279195523</x:v>
      </x:c>
      <x:c r="H51" s="118" t="n">
        <x:v>0.1351284614470627</x:v>
      </x:c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n">
        <x:v>3</x:v>
      </x:c>
      <x:c r="B52" s="118" t="n">
        <x:v>0.08503125807252343</x:v>
      </x:c>
      <x:c r="C52" s="118" t="n">
        <x:v>0.0875563087774669</x:v>
      </x:c>
      <x:c r="D52" s="118" t="n">
        <x:v>0.7489741497137439</x:v>
      </x:c>
      <x:c r="E52" s="118" t="n">
        <x:v>0.06165100010337575</x:v>
      </x:c>
      <x:c r="F52" s="118" t="n">
        <x:v>0.006842174734655058</x:v>
      </x:c>
      <x:c r="G52" s="118" t="n">
        <x:v>0.22875970032171944</x:v>
      </x:c>
      <x:c r="H52" s="118" t="n">
        <x:v>0.014051123001115533</x:v>
      </x:c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n">
        <x:v>4</x:v>
      </x:c>
      <x:c r="B53" s="118" t="n">
        <x:v>0.07896209226531135</x:v>
      </x:c>
      <x:c r="C53" s="118" t="n">
        <x:v>0.07890787774817475</x:v>
      </x:c>
      <x:c r="D53" s="118" t="n">
        <x:v>0.7541483538738527</x:v>
      </x:c>
      <x:c r="E53" s="118" t="n">
        <x:v>0.25006087296930973</x:v>
      </x:c>
      <x:c r="F53" s="118" t="n">
        <x:v>0.0924683374998785</x:v>
      </x:c>
      <x:c r="G53" s="118" t="n">
        <x:v>0.3823303861027634</x:v>
      </x:c>
      <x:c r="H53" s="118" t="n">
        <x:v>0.03941347288668152</x:v>
      </x:c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n">
        <x:v>5</x:v>
      </x:c>
      <x:c r="B54" s="118" t="n">
        <x:v>0.10517194160295013</x:v>
      </x:c>
      <x:c r="C54" s="118" t="n">
        <x:v>0.16050958187513784</x:v>
      </x:c>
      <x:c r="D54" s="118" t="n">
        <x:v>0.5340372484166398</x:v>
      </x:c>
      <x:c r="E54" s="118" t="n">
        <x:v>0.2253432928857547</x:v>
      </x:c>
      <x:c r="F54" s="118" t="n">
        <x:v>0.43673222706927833</x:v>
      </x:c>
      <x:c r="G54" s="118" t="n">
        <x:v>0.010425374358989287</x:v>
      </x:c>
      <x:c r="H54" s="118" t="n">
        <x:v>0.11066645887700692</x:v>
      </x:c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n">
        <x:v>6</x:v>
      </x:c>
      <x:c r="B55" s="118" t="n">
        <x:v>0.09791789296852604</x:v>
      </x:c>
      <x:c r="C55" s="118" t="n">
        <x:v>0.14484360054328216</x:v>
      </x:c>
      <x:c r="D55" s="118" t="n">
        <x:v>0.5417156610328343</x:v>
      </x:c>
      <x:c r="E55" s="118" t="n">
        <x:v>0.5708949630634126</x:v>
      </x:c>
      <x:c r="F55" s="118" t="n">
        <x:v>0.1765849415357074</x:v>
      </x:c>
      <x:c r="G55" s="118" t="n">
        <x:v>0.0551016634567843</x:v>
      </x:c>
      <x:c r="H55" s="118" t="n">
        <x:v>0.06281442705305647</x:v>
      </x:c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n">
        <x:v>7</x:v>
      </x:c>
      <x:c r="B56" s="118" t="n">
        <x:v>0.07106809722293414</x:v>
      </x:c>
      <x:c r="C56" s="118" t="n">
        <x:v>0.06185374672097934</x:v>
      </x:c>
      <x:c r="D56" s="118" t="n">
        <x:v>0.8344563394343522</x:v>
      </x:c>
      <x:c r="E56" s="118" t="n">
        <x:v>0.07247739398882726</x:v>
      </x:c>
      <x:c r="F56" s="118" t="n">
        <x:v>0.11914775704348013</x:v>
      </x:c>
      <x:c r="G56" s="118" t="n">
        <x:v>0.32518531966973024</x:v>
      </x:c>
      <x:c r="H56" s="118" t="n">
        <x:v>0.08524360657069978</x:v>
      </x:c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n">
        <x:v>8</x:v>
      </x:c>
      <x:c r="B57" s="118" t="n">
        <x:v>0.07814852987188342</x:v>
      </x:c>
      <x:c r="C57" s="118" t="n">
        <x:v>0.0800876053808041</x:v>
      </x:c>
      <x:c r="D57" s="118" t="n">
        <x:v>0.7328809924950705</x:v>
      </x:c>
      <x:c r="E57" s="118" t="n">
        <x:v>0.006914786161209144</x:v>
      </x:c>
      <x:c r="F57" s="118" t="n">
        <x:v>0.21760179435094107</x:v>
      </x:c>
      <x:c r="G57" s="118" t="n">
        <x:v>0.12876900052940998</x:v>
      </x:c>
      <x:c r="H57" s="118" t="n">
        <x:v>0.04484452786054298</x:v>
      </x:c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n">
        <x:v>9</x:v>
      </x:c>
      <x:c r="B58" s="118" t="n">
        <x:v>0.10207447417252988</x:v>
      </x:c>
      <x:c r="C58" s="118" t="n">
        <x:v>0.12883375622728604</x:v>
      </x:c>
      <x:c r="D58" s="118" t="n">
        <x:v>0.6412964306724551</x:v>
      </x:c>
      <x:c r="E58" s="118" t="n">
        <x:v>0.22457549514887878</x:v>
      </x:c>
      <x:c r="F58" s="118" t="n">
        <x:v>0.27394934399604043</x:v>
      </x:c>
      <x:c r="G58" s="118" t="n">
        <x:v>0.0058270685005503845</x:v>
      </x:c>
      <x:c r="H58" s="118" t="n">
        <x:v>0.02972284892469401</x:v>
      </x:c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n">
        <x:v>10</x:v>
      </x:c>
      <x:c r="B59" s="118" t="n">
        <x:v>0.07875824354664682</x:v>
      </x:c>
      <x:c r="C59" s="118" t="n">
        <x:v>0.07990720203676267</x:v>
      </x:c>
      <x:c r="D59" s="118" t="n">
        <x:v>0.7421658609134714</x:v>
      </x:c>
      <x:c r="E59" s="118" t="n">
        <x:v>0.12603513213376408</x:v>
      </x:c>
      <x:c r="F59" s="118" t="n">
        <x:v>0.13594095132885806</x:v>
      </x:c>
      <x:c r="G59" s="118" t="n">
        <x:v>0.039929925056657545</x:v>
      </x:c>
      <x:c r="H59" s="118" t="n">
        <x:v>0.23161387220350474</x:v>
      </x:c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n">
        <x:v>11</x:v>
      </x:c>
      <x:c r="B60" s="118" t="n">
        <x:v>0.06983316792227318</x:v>
      </x:c>
      <x:c r="C60" s="118" t="n">
        <x:v>0.06448836466618979</x:v>
      </x:c>
      <x:c r="D60" s="118" t="n">
        <x:v>0.781215681762203</x:v>
      </x:c>
      <x:c r="E60" s="118" t="n">
        <x:v>0.03971608711313184</x:v>
      </x:c>
      <x:c r="F60" s="118" t="n">
        <x:v>0.021090239573485648</x:v>
      </x:c>
      <x:c r="G60" s="118" t="n">
        <x:v>0.3920656819628566</x:v>
      </x:c>
      <x:c r="H60" s="118" t="n">
        <x:v>0.11855935930733327</x:v>
      </x:c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n">
        <x:v>12</x:v>
      </x:c>
      <x:c r="B61" s="118" t="n">
        <x:v>0.07200729511856731</x:v>
      </x:c>
      <x:c r="C61" s="118" t="n">
        <x:v>0.06696337029963442</x:v>
      </x:c>
      <x:c r="D61" s="118" t="n">
        <x:v>0.7848088996949435</x:v>
      </x:c>
      <x:c r="E61" s="118" t="n">
        <x:v>0.07505657932920501</x:v>
      </x:c>
      <x:c r="F61" s="118" t="n">
        <x:v>0.10526223807106705</x:v>
      </x:c>
      <x:c r="G61" s="118" t="n">
        <x:v>0.366236133414093</x:v>
      </x:c>
      <x:c r="H61" s="118" t="n">
        <x:v>0.2105386122660654</x:v>
      </x:c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n">
        <x:v>13</x:v>
      </x:c>
      <x:c r="B62" s="118" t="n">
        <x:v>0.11133710818849721</x:v>
      </x:c>
      <x:c r="C62" s="118" t="n">
        <x:v>0.1876182342440963</x:v>
      </x:c>
      <x:c r="D62" s="118" t="n">
        <x:v>0.48973524564306736</x:v>
      </x:c>
      <x:c r="E62" s="118" t="n">
        <x:v>0.07819359698699921</x:v>
      </x:c>
      <x:c r="F62" s="118" t="n">
        <x:v>0.6229307372961677</x:v>
      </x:c>
      <x:c r="G62" s="118" t="n">
        <x:v>0.0014418195003697222</x:v>
      </x:c>
      <x:c r="H62" s="118" t="n">
        <x:v>0.03155698829474644</x:v>
      </x:c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n">
        <x:v>14</x:v>
      </x:c>
      <x:c r="B63" s="118" t="n">
        <x:v>0.07587287098516796</x:v>
      </x:c>
      <x:c r="C63" s="118" t="n">
        <x:v>0.07230516779353187</x:v>
      </x:c>
      <x:c r="D63" s="118" t="n">
        <x:v>0.7802903520316403</x:v>
      </x:c>
      <x:c r="E63" s="118" t="n">
        <x:v>0.204590068758796</x:v>
      </x:c>
      <x:c r="F63" s="118" t="n">
        <x:v>0.04508748736119904</x:v>
      </x:c>
      <x:c r="G63" s="118" t="n">
        <x:v>0.3607603254353592</x:v>
      </x:c>
      <x:c r="H63" s="118" t="n">
        <x:v>0.1496848554293566</x:v>
      </x:c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n">
        <x:v>15</x:v>
      </x:c>
      <x:c r="B64" s="118" t="n">
        <x:v>0.08725337857663905</x:v>
      </x:c>
      <x:c r="C64" s="118" t="n">
        <x:v>0.12458547804479907</x:v>
      </x:c>
      <x:c r="D64" s="118" t="n">
        <x:v>0.5442009252347468</x:v>
      </x:c>
      <x:c r="E64" s="118" t="n">
        <x:v>0.3276814784216193</x:v>
      </x:c>
      <x:c r="F64" s="118" t="n">
        <x:v>0.23921966312943482</x:v>
      </x:c>
      <x:c r="G64" s="118" t="n">
        <x:v>0.018016388566763866</x:v>
      </x:c>
      <x:c r="H64" s="118" t="n">
        <x:v>0.105022829127044</x:v>
      </x:c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n">
        <x:v>16</x:v>
      </x:c>
      <x:c r="B65" s="118" t="n">
        <x:v>0.09121227454986391</x:v>
      </x:c>
      <x:c r="C65" s="118" t="n">
        <x:v>0.10012761337007953</x:v>
      </x:c>
      <x:c r="D65" s="118" t="n">
        <x:v>0.7166697175812328</x:v>
      </x:c>
      <x:c r="E65" s="118" t="n">
        <x:v>0.015802686654123172</x:v>
      </x:c>
      <x:c r="F65" s="118" t="n">
        <x:v>0.05001188425694409</x:v>
      </x:c>
      <x:c r="G65" s="118" t="n">
        <x:v>0.18506637274827747</x:v>
      </x:c>
      <x:c r="H65" s="118" t="n">
        <x:v>0.14220432082276566</x:v>
      </x:c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n">
        <x:v>17</x:v>
      </x:c>
      <x:c r="B66" s="118" t="n">
        <x:v>0.0974964439498556</x:v>
      </x:c>
      <x:c r="C66" s="118" t="n">
        <x:v>0.16319610827142353</x:v>
      </x:c>
      <x:c r="D66" s="118" t="n">
        <x:v>0.4782135960387672</x:v>
      </x:c>
      <x:c r="E66" s="118" t="n">
        <x:v>0.26394035501094915</x:v>
      </x:c>
      <x:c r="F66" s="118" t="n">
        <x:v>0.4525244358709973</x:v>
      </x:c>
      <x:c r="G66" s="118" t="n">
        <x:v>0.04306001822237876</x:v>
      </x:c>
      <x:c r="H66" s="118" t="n">
        <x:v>0.030296926107674014</x:v>
      </x:c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n">
        <x:v>18</x:v>
      </x:c>
      <x:c r="B67" s="118" t="n">
        <x:v>0.08445686357218181</x:v>
      </x:c>
      <x:c r="C67" s="118" t="n">
        <x:v>0.09142854386350693</x:v>
      </x:c>
      <x:c r="D67" s="118" t="n">
        <x:v>0.7109707173656645</x:v>
      </x:c>
      <x:c r="E67" s="118" t="n">
        <x:v>0.05056640031791216</x:v>
      </x:c>
      <x:c r="F67" s="118" t="n">
        <x:v>0.19477193877179352</x:v>
      </x:c>
      <x:c r="G67" s="118" t="n">
        <x:v>0.17834331016671495</x:v>
      </x:c>
      <x:c r="H67" s="118" t="n">
        <x:v>0.3747480996200945</x:v>
      </x:c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n">
        <x:v>19</x:v>
      </x:c>
      <x:c r="B68" s="118" t="n">
        <x:v>0.10303837063618562</x:v>
      </x:c>
      <x:c r="C68" s="118" t="n">
        <x:v>0.13902219576970296</x:v>
      </x:c>
      <x:c r="D68" s="118" t="n">
        <x:v>0.6012315085340855</x:v>
      </x:c>
      <x:c r="E68" s="118" t="n">
        <x:v>0.012416033637233616</x:v>
      </x:c>
      <x:c r="F68" s="118" t="n">
        <x:v>0.43841284439177297</x:v>
      </x:c>
      <x:c r="G68" s="118" t="n">
        <x:v>0.09337783037683242</x:v>
      </x:c>
      <x:c r="H68" s="118" t="n">
        <x:v>0.060722365516273386</x:v>
      </x:c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n">
        <x:v>20</x:v>
      </x:c>
      <x:c r="B69" s="118" t="n">
        <x:v>0.08182550098918745</x:v>
      </x:c>
      <x:c r="C69" s="118" t="n">
        <x:v>0.09390783241876835</x:v>
      </x:c>
      <x:c r="D69" s="118" t="n">
        <x:v>0.6641794750112424</x:v>
      </x:c>
      <x:c r="E69" s="118" t="n">
        <x:v>0.15472933682292164</x:v>
      </x:c>
      <x:c r="F69" s="118" t="n">
        <x:v>0.20138036816179414</x:v>
      </x:c>
      <x:c r="G69" s="118" t="n">
        <x:v>0.052142043480255536</x:v>
      </x:c>
      <x:c r="H69" s="118" t="n">
        <x:v>0.023361222526036424</x:v>
      </x:c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n">
        <x:v>21</x:v>
      </x:c>
      <x:c r="B70" s="118" t="n">
        <x:v>0.06885932465608312</x:v>
      </x:c>
      <x:c r="C70" s="118" t="n">
        <x:v>0.0665458551130237</x:v>
      </x:c>
      <x:c r="D70" s="118" t="n">
        <x:v>0.7424275849836935</x:v>
      </x:c>
      <x:c r="E70" s="118" t="n">
        <x:v>0.011580767272754476</x:v>
      </x:c>
      <x:c r="F70" s="118" t="n">
        <x:v>0.05662994397455613</x:v>
      </x:c>
      <x:c r="G70" s="118" t="n">
        <x:v>0.06413344207637409</x:v>
      </x:c>
      <x:c r="H70" s="118" t="n">
        <x:v>0.6935668514883581</x:v>
      </x:c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n">
        <x:v>22</x:v>
      </x:c>
      <x:c r="B71" s="118" t="n">
        <x:v>0.07871637314955389</x:v>
      </x:c>
      <x:c r="C71" s="118" t="n">
        <x:v>0.08700554894226797</x:v>
      </x:c>
      <x:c r="D71" s="118" t="n">
        <x:v>0.6811350277788724</x:v>
      </x:c>
      <x:c r="E71" s="118" t="n">
        <x:v>0.2648031626718736</x:v>
      </x:c>
      <x:c r="F71" s="118" t="n">
        <x:v>0.14356625345762516</x:v>
      </x:c>
      <x:c r="G71" s="118" t="n">
        <x:v>0.28478886451757673</x:v>
      </x:c>
      <x:c r="H71" s="118" t="n">
        <x:v>0.14873124243690142</x:v>
      </x:c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n">
        <x:v>23</x:v>
      </x:c>
      <x:c r="B72" s="118" t="n">
        <x:v>0.10299667053171031</x:v>
      </x:c>
      <x:c r="C72" s="118" t="n">
        <x:v>0.12340789843866125</x:v>
      </x:c>
      <x:c r="D72" s="118" t="n">
        <x:v>0.6769649709203042</x:v>
      </x:c>
      <x:c r="E72" s="118" t="n">
        <x:v>0.2047604023071573</x:v>
      </x:c>
      <x:c r="F72" s="118" t="n">
        <x:v>0.22564004645391839</x:v>
      </x:c>
      <x:c r="G72" s="118" t="n">
        <x:v>0.0546244462071246</x:v>
      </x:c>
      <x:c r="H72" s="118" t="n">
        <x:v>0.14611597317972952</x:v>
      </x:c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n">
        <x:v>24</x:v>
      </x:c>
      <x:c r="B73" s="118" t="n">
        <x:v>0.09588768219700221</x:v>
      </x:c>
      <x:c r="C73" s="118" t="n">
        <x:v>0.10750723657163717</x:v>
      </x:c>
      <x:c r="D73" s="118" t="n">
        <x:v>0.7109645683453556</x:v>
      </x:c>
      <x:c r="E73" s="118" t="n">
        <x:v>0.10743162744919811</x:v>
      </x:c>
      <x:c r="F73" s="118" t="n">
        <x:v>0.009789698669825831</x:v>
      </x:c>
      <x:c r="G73" s="118" t="n">
        <x:v>0.1280821496373691</x:v>
      </x:c>
      <x:c r="H73" s="118" t="n">
        <x:v>0.12655582083713907</x:v>
      </x:c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n">
        <x:v>25</x:v>
      </x:c>
      <x:c r="B74" s="118" t="n">
        <x:v>0.08232252299444737</x:v>
      </x:c>
      <x:c r="C74" s="118" t="n">
        <x:v>0.09728638046838715</x:v>
      </x:c>
      <x:c r="D74" s="118" t="n">
        <x:v>0.6462227964276064</x:v>
      </x:c>
      <x:c r="E74" s="118" t="n">
        <x:v>0.42573805462393804</x:v>
      </x:c>
      <x:c r="F74" s="118" t="n">
        <x:v>0.04962455777527727</x:v>
      </x:c>
      <x:c r="G74" s="118" t="n">
        <x:v>0.16996624944876687</x:v>
      </x:c>
      <x:c r="H74" s="118" t="n">
        <x:v>0.23327655397927582</x:v>
      </x:c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n">
        <x:v>26</x:v>
      </x:c>
      <x:c r="B75" s="118" t="n">
        <x:v>0.08598183367753623</x:v>
      </x:c>
      <x:c r="C75" s="118" t="n">
        <x:v>0.11228824334273912</x:v>
      </x:c>
      <x:c r="D75" s="118" t="n">
        <x:v>0.5924750939475086</x:v>
      </x:c>
      <x:c r="E75" s="118" t="n">
        <x:v>0.42323751088348943</x:v>
      </x:c>
      <x:c r="F75" s="118" t="n">
        <x:v>0.12851737739021432</x:v>
      </x:c>
      <x:c r="G75" s="118" t="n">
        <x:v>0.1133901653019384</x:v>
      </x:c>
      <x:c r="H75" s="118" t="n">
        <x:v>0.22655329429386165</x:v>
      </x:c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n">
        <x:v>27</x:v>
      </x:c>
      <x:c r="B76" s="118" t="n">
        <x:v>0.08234040859138812</x:v>
      </x:c>
      <x:c r="C76" s="118" t="n">
        <x:v>0.07346829574859358</x:v>
      </x:c>
      <x:c r="D76" s="118" t="n">
        <x:v>0.855968711357318</x:v>
      </x:c>
      <x:c r="E76" s="118" t="n">
        <x:v>0.07925810850887446</x:v>
      </x:c>
      <x:c r="F76" s="118" t="n">
        <x:v>0.02304138665198078</x:v>
      </x:c>
      <x:c r="G76" s="118" t="n">
        <x:v>0.06271697385966969</x:v>
      </x:c>
      <x:c r="H76" s="118" t="n">
        <x:v>0.13174422977751274</x:v>
      </x:c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n">
        <x:v>28</x:v>
      </x:c>
      <x:c r="B77" s="118" t="n">
        <x:v>0.07239138526061033</x:v>
      </x:c>
      <x:c r="C77" s="118" t="n">
        <x:v>0.0807028852201424</x:v>
      </x:c>
      <x:c r="D77" s="118" t="n">
        <x:v>0.6559559669070126</x:v>
      </x:c>
      <x:c r="E77" s="118" t="n">
        <x:v>0.31492386474290746</x:v>
      </x:c>
      <x:c r="F77" s="118" t="n">
        <x:v>0.02487389201530757</x:v>
      </x:c>
      <x:c r="G77" s="118" t="n">
        <x:v>0.024766535366693765</x:v>
      </x:c>
      <x:c r="H77" s="118" t="n">
        <x:v>0.29371186005205613</x:v>
      </x:c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n">
        <x:v>29</x:v>
      </x:c>
      <x:c r="B78" s="118" t="n">
        <x:v>0.07637135545391424</x:v>
      </x:c>
      <x:c r="C78" s="118" t="n">
        <x:v>0.09423071394505976</x:v>
      </x:c>
      <x:c r="D78" s="118" t="n">
        <x:v>0.6040229020577436</x:v>
      </x:c>
      <x:c r="E78" s="118" t="n">
        <x:v>0.48466826091875437</x:v>
      </x:c>
      <x:c r="F78" s="118" t="n">
        <x:v>0.010138459353885729</x:v>
      </x:c>
      <x:c r="G78" s="118" t="n">
        <x:v>0.2180000771217016</x:v>
      </x:c>
      <x:c r="H78" s="118" t="n">
        <x:v>0.22140861872802395</x:v>
      </x:c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n">
        <x:v>30</x:v>
      </x:c>
      <x:c r="B79" s="118" t="n">
        <x:v>0.09624461545044227</x:v>
      </x:c>
      <x:c r="C79" s="118" t="n">
        <x:v>0.10234450380793189</x:v>
      </x:c>
      <x:c r="D79" s="118" t="n">
        <x:v>0.7503164941881783</x:v>
      </x:c>
      <x:c r="E79" s="118" t="n">
        <x:v>0.09383337781369967</x:v>
      </x:c>
      <x:c r="F79" s="118" t="n">
        <x:v>0.11979220406303578</x:v>
      </x:c>
      <x:c r="G79" s="118" t="n">
        <x:v>0.09268934171682633</x:v>
      </x:c>
      <x:c r="H79" s="118" t="n">
        <x:v>0.12926441570193</x:v>
      </x:c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n">
        <x:v>31</x:v>
      </x:c>
      <x:c r="B80" s="118" t="n">
        <x:v>0.06185452768221427</x:v>
      </x:c>
      <x:c r="C80" s="118" t="n">
        <x:v>0.05908884789903998</x:v>
      </x:c>
      <x:c r="D80" s="118" t="n">
        <x:v>0.71757502533836</x:v>
      </x:c>
      <x:c r="E80" s="118" t="n">
        <x:v>0.023637638636819176</x:v>
      </x:c>
      <x:c r="F80" s="118" t="n">
        <x:v>0.07358349584030463</x:v>
      </x:c>
      <x:c r="G80" s="118" t="n">
        <x:v>0.02347024576396686</x:v>
      </x:c>
      <x:c r="H80" s="118" t="n">
        <x:v>0.37268096870972367</x:v>
      </x:c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n">
        <x:v>32</x:v>
      </x:c>
      <x:c r="B81" s="118" t="n">
        <x:v>0.08701279338041007</x:v>
      </x:c>
      <x:c r="C81" s="118" t="n">
        <x:v>0.09308516232191802</x:v>
      </x:c>
      <x:c r="D81" s="118" t="n">
        <x:v>0.7257756826262347</x:v>
      </x:c>
      <x:c r="E81" s="118" t="n">
        <x:v>0.08356445465286753</x:v>
      </x:c>
      <x:c r="F81" s="118" t="n">
        <x:v>0.19754694360169853</x:v>
      </x:c>
      <x:c r="G81" s="118" t="n">
        <x:v>0.3294362450337968</x:v>
      </x:c>
      <x:c r="H81" s="118" t="n">
        <x:v>0.11018114636005844</x:v>
      </x:c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n">
        <x:v>33</x:v>
      </x:c>
      <x:c r="B82" s="118" t="n">
        <x:v>0.08435055458994571</x:v>
      </x:c>
      <x:c r="C82" s="118" t="n">
        <x:v>0.12218252091514287</x:v>
      </x:c>
      <x:c r="D82" s="118" t="n">
        <x:v>0.5311456004510747</x:v>
      </x:c>
      <x:c r="E82" s="118" t="n">
        <x:v>0.05823701265183605</x:v>
      </x:c>
      <x:c r="F82" s="118" t="n">
        <x:v>0.4265126024200127</x:v>
      </x:c>
      <x:c r="G82" s="118" t="n">
        <x:v>0.29918944553688565</x:v>
      </x:c>
      <x:c r="H82" s="118" t="n">
        <x:v>0.05665317727702706</x:v>
      </x:c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n">
        <x:v>34</x:v>
      </x:c>
      <x:c r="B83" s="118" t="n">
        <x:v>0.08333665467921741</x:v>
      </x:c>
      <x:c r="C83" s="118" t="n">
        <x:v>0.09284643623538213</x:v>
      </x:c>
      <x:c r="D83" s="118" t="n">
        <x:v>0.6880480405668672</x:v>
      </x:c>
      <x:c r="E83" s="118" t="n">
        <x:v>0.20371251836918727</x:v>
      </x:c>
      <x:c r="F83" s="118" t="n">
        <x:v>0.15832163413495648</x:v>
      </x:c>
      <x:c r="G83" s="118" t="n">
        <x:v>0.030713220889094058</x:v>
      </x:c>
      <x:c r="H83" s="118" t="n">
        <x:v>0.10226912513457745</x:v>
      </x:c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n">
        <x:v>35</x:v>
      </x:c>
      <x:c r="B84" s="118" t="n">
        <x:v>0.0987623481692006</x:v>
      </x:c>
      <x:c r="C84" s="118" t="n">
        <x:v>0.11148052011789422</x:v>
      </x:c>
      <x:c r="D84" s="118" t="n">
        <x:v>0.7114113024543046</x:v>
      </x:c>
      <x:c r="E84" s="118" t="n">
        <x:v>0.09646444723186302</x:v>
      </x:c>
      <x:c r="F84" s="118" t="n">
        <x:v>0.23446248602869174</x:v>
      </x:c>
      <x:c r="G84" s="118" t="n">
        <x:v>0.1311470649576085</x:v>
      </x:c>
      <x:c r="H84" s="118" t="n">
        <x:v>0.04374318699267262</x:v>
      </x:c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n">
        <x:v>36</x:v>
      </x:c>
      <x:c r="B85" s="118" t="n">
        <x:v>0.0885429969793972</x:v>
      </x:c>
      <x:c r="C85" s="118" t="n">
        <x:v>0.10416166692124863</x:v>
      </x:c>
      <x:c r="D85" s="118" t="n">
        <x:v>0.663287684113061</x:v>
      </x:c>
      <x:c r="E85" s="118" t="n">
        <x:v>0.3082076492739712</x:v>
      </x:c>
      <x:c r="F85" s="118" t="n">
        <x:v>0.14483941542495463</x:v>
      </x:c>
      <x:c r="G85" s="118" t="n">
        <x:v>0.1147310078779448</x:v>
      </x:c>
      <x:c r="H85" s="118" t="n">
        <x:v>0.2318796009054774</x:v>
      </x:c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n">
        <x:v>37</x:v>
      </x:c>
      <x:c r="B86" s="118" t="n">
        <x:v>0.08443716727600269</x:v>
      </x:c>
      <x:c r="C86" s="118" t="n">
        <x:v>0.07786290925769244</x:v>
      </x:c>
      <x:c r="D86" s="118" t="n">
        <x:v>0.8345863485153109</x:v>
      </x:c>
      <x:c r="E86" s="118" t="n">
        <x:v>0.059088884763392545</x:v>
      </x:c>
      <x:c r="F86" s="118" t="n">
        <x:v>0.04651032459802161</x:v>
      </x:c>
      <x:c r="G86" s="118" t="n">
        <x:v>0.03737395856430676</x:v>
      </x:c>
      <x:c r="H86" s="118" t="n">
        <x:v>0.24433845668449408</x:v>
      </x:c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n">
        <x:v>38</x:v>
      </x:c>
      <x:c r="B87" s="118" t="n">
        <x:v>0.07606922368191521</x:v>
      </x:c>
      <x:c r="C87" s="118" t="n">
        <x:v>0.0703291453019915</x:v>
      </x:c>
      <x:c r="D87" s="118" t="n">
        <x:v>0.8050059087873757</x:v>
      </x:c>
      <x:c r="E87" s="118" t="n">
        <x:v>0.18804881774427304</x:v>
      </x:c>
      <x:c r="F87" s="118" t="n">
        <x:v>0.08101158355070487</x:v>
      </x:c>
      <x:c r="G87" s="118" t="n">
        <x:v>0.16028362770081836</x:v>
      </x:c>
      <x:c r="H87" s="118" t="n">
        <x:v>0.1003165925536231</x:v>
      </x:c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n">
        <x:v>39</x:v>
      </x:c>
      <x:c r="B88" s="118" t="n">
        <x:v>0.10039484373773341</x:v>
      </x:c>
      <x:c r="C88" s="118" t="n">
        <x:v>0.11961325162755787</x:v>
      </x:c>
      <x:c r="D88" s="118" t="n">
        <x:v>0.6766892169766844</x:v>
      </x:c>
      <x:c r="E88" s="118" t="n">
        <x:v>0.03099940611873623</x:v>
      </x:c>
      <x:c r="F88" s="118" t="n">
        <x:v>0.0677795065014856</x:v>
      </x:c>
      <x:c r="G88" s="118" t="n">
        <x:v>0.17040636244858443</x:v>
      </x:c>
      <x:c r="H88" s="118" t="n">
        <x:v>0.09181638075866437</x:v>
      </x:c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n">
        <x:v>40</x:v>
      </x:c>
      <x:c r="B89" s="118" t="n">
        <x:v>0.07656401876141822</x:v>
      </x:c>
      <x:c r="C89" s="118" t="n">
        <x:v>0.08528922702608777</x:v>
      </x:c>
      <x:c r="D89" s="118" t="n">
        <x:v>0.6696059349922768</x:v>
      </x:c>
      <x:c r="E89" s="118" t="n">
        <x:v>0.02196540274060332</x:v>
      </x:c>
      <x:c r="F89" s="118" t="n">
        <x:v>0.20047083616013847</x:v>
      </x:c>
      <x:c r="G89" s="118" t="n">
        <x:v>0.0748979869917409</x:v>
      </x:c>
      <x:c r="H89" s="118" t="n">
        <x:v>0.4695651705271257</x:v>
      </x:c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n">
        <x:v>41</x:v>
      </x:c>
      <x:c r="B90" s="118" t="n">
        <x:v>0.09628581953823584</x:v>
      </x:c>
      <x:c r="C90" s="118" t="n">
        <x:v>0.1609184851800004</x:v>
      </x:c>
      <x:c r="D90" s="118" t="n">
        <x:v>0.4774589650060829</x:v>
      </x:c>
      <x:c r="E90" s="118" t="n">
        <x:v>0.7701058416085238</x:v>
      </x:c>
      <x:c r="F90" s="118" t="n">
        <x:v>0.1061296922817442</x:v>
      </x:c>
      <x:c r="G90" s="118" t="n">
        <x:v>0.019078467714152857</x:v>
      </x:c>
      <x:c r="H90" s="118" t="n">
        <x:v>0.06358515698747574</x:v>
      </x:c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n">
        <x:v>42</x:v>
      </x:c>
      <x:c r="B91" s="118" t="n">
        <x:v>0.08880256153913677</x:v>
      </x:c>
      <x:c r="C91" s="118" t="n">
        <x:v>0.0983439818920755</x:v>
      </x:c>
      <x:c r="D91" s="118" t="n">
        <x:v>0.705164810810642</x:v>
      </x:c>
      <x:c r="E91" s="118" t="n">
        <x:v>0.005250843584433864</x:v>
      </x:c>
      <x:c r="F91" s="118" t="n">
        <x:v>0.031044539483508334</x:v>
      </x:c>
      <x:c r="G91" s="118" t="n">
        <x:v>0.17491554959606018</x:v>
      </x:c>
      <x:c r="H91" s="118" t="n">
        <x:v>0.29083217071448125</x:v>
      </x:c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n">
        <x:v>43</x:v>
      </x:c>
      <x:c r="B92" s="118" t="n">
        <x:v>0.07724902027710978</x:v>
      </x:c>
      <x:c r="C92" s="118" t="n">
        <x:v>0.07558240487884826</x:v>
      </x:c>
      <x:c r="D92" s="118" t="n">
        <x:v>0.7646643979627804</x:v>
      </x:c>
      <x:c r="E92" s="118" t="n">
        <x:v>0.03605013038217727</x:v>
      </x:c>
      <x:c r="F92" s="118" t="n">
        <x:v>0.09569831806023531</x:v>
      </x:c>
      <x:c r="G92" s="118" t="n">
        <x:v>0.22533722628394995</x:v>
      </x:c>
      <x:c r="H92" s="118" t="n">
        <x:v>0.4122199912523555</x:v>
      </x:c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n">
        <x:v>44</x:v>
      </x:c>
      <x:c r="B93" s="118" t="n">
        <x:v>0.08769402297622836</x:v>
      </x:c>
      <x:c r="C93" s="118" t="n">
        <x:v>0.0972226068310702</x:v>
      </x:c>
      <x:c r="D93" s="118" t="n">
        <x:v>0.7018961849166767</x:v>
      </x:c>
      <x:c r="E93" s="118" t="n">
        <x:v>0.2949472360241319</x:v>
      </x:c>
      <x:c r="F93" s="118" t="n">
        <x:v>0.11417179364136852</x:v>
      </x:c>
      <x:c r="G93" s="118" t="n">
        <x:v>0.13179531313913576</x:v>
      </x:c>
      <x:c r="H93" s="118" t="n">
        <x:v>0.19609798379868393</x:v>
      </x:c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n">
        <x:v>45</x:v>
      </x:c>
      <x:c r="B94" s="118" t="n">
        <x:v>0.09055106319544903</x:v>
      </x:c>
      <x:c r="C94" s="118" t="n">
        <x:v>0.12646158517397604</x:v>
      </x:c>
      <x:c r="D94" s="118" t="n">
        <x:v>0.5622040633429736</x:v>
      </x:c>
      <x:c r="E94" s="118" t="n">
        <x:v>0.06083815839811143</x:v>
      </x:c>
      <x:c r="F94" s="118" t="n">
        <x:v>0.3985868791576658</x:v>
      </x:c>
      <x:c r="G94" s="118" t="n">
        <x:v>0.17154519594741435</x:v>
      </x:c>
      <x:c r="H94" s="118" t="n">
        <x:v>0.2386923214349239</x:v>
      </x:c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n">
        <x:v>46</x:v>
      </x:c>
      <x:c r="B95" s="118" t="n">
        <x:v>0.08172770273333177</x:v>
      </x:c>
      <x:c r="C95" s="118" t="n">
        <x:v>0.10324326397244239</x:v>
      </x:c>
      <x:c r="D95" s="118" t="n">
        <x:v>0.6031759766536217</x:v>
      </x:c>
      <x:c r="E95" s="118" t="n">
        <x:v>0.45272723813459864</x:v>
      </x:c>
      <x:c r="F95" s="118" t="n">
        <x:v>0.10233197512877451</x:v>
      </x:c>
      <x:c r="G95" s="118" t="n">
        <x:v>0.26323927360821386</x:v>
      </x:c>
      <x:c r="H95" s="118" t="n">
        <x:v>0.11583950708135762</x:v>
      </x:c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n">
        <x:v>47</x:v>
      </x:c>
      <x:c r="B96" s="118" t="n">
        <x:v>0.07678640804329075</x:v>
      </x:c>
      <x:c r="C96" s="118" t="n">
        <x:v>0.0806779945485345</x:v>
      </x:c>
      <x:c r="D96" s="118" t="n">
        <x:v>0.7106344451206494</x:v>
      </x:c>
      <x:c r="E96" s="118" t="n">
        <x:v>0.06623543178291527</x:v>
      </x:c>
      <x:c r="F96" s="118" t="n">
        <x:v>0.16852868090546336</x:v>
      </x:c>
      <x:c r="G96" s="118" t="n">
        <x:v>0.15194703733352996</x:v>
      </x:c>
      <x:c r="H96" s="118" t="n">
        <x:v>0.4060360254596351</x:v>
      </x:c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n">
        <x:v>48</x:v>
      </x:c>
      <x:c r="B97" s="118" t="n">
        <x:v>0.08101944255122515</x:v>
      </x:c>
      <x:c r="C97" s="118" t="n">
        <x:v>0.1090234936882835</x:v>
      </x:c>
      <x:c r="D97" s="118" t="n">
        <x:v>0.5647002706903284</x:v>
      </x:c>
      <x:c r="E97" s="118" t="n">
        <x:v>0.3893569744807785</x:v>
      </x:c>
      <x:c r="F97" s="118" t="n">
        <x:v>0.18105244199737627</x:v>
      </x:c>
      <x:c r="G97" s="118" t="n">
        <x:v>0.24657179495772824</x:v>
      </x:c>
      <x:c r="H97" s="118" t="n">
        <x:v>0.11643595698869152</x:v>
      </x:c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n">
        <x:v>49</x:v>
      </x:c>
      <x:c r="B98" s="118" t="n">
        <x:v>0.09349131469894476</x:v>
      </x:c>
      <x:c r="C98" s="118" t="n">
        <x:v>0.11248156470778338</x:v>
      </x:c>
      <x:c r="D98" s="118" t="n">
        <x:v>0.658218693324911</x:v>
      </x:c>
      <x:c r="E98" s="118" t="n">
        <x:v>0.10417250267419549</x:v>
      </x:c>
      <x:c r="F98" s="118" t="n">
        <x:v>0.3048162856064487</x:v>
      </x:c>
      <x:c r="G98" s="118" t="n">
        <x:v>0.20917710931348651</x:v>
      </x:c>
      <x:c r="H98" s="118" t="n">
        <x:v>0.08852790189636589</x:v>
      </x:c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n">
        <x:v>50</x:v>
      </x:c>
      <x:c r="B99" s="118" t="n">
        <x:v>0.08419866734444825</x:v>
      </x:c>
      <x:c r="C99" s="118" t="n">
        <x:v>0.08443873271110994</x:v>
      </x:c>
      <x:c r="D99" s="118" t="n">
        <x:v>0.7667668510861411</x:v>
      </x:c>
      <x:c r="E99" s="118" t="n">
        <x:v>0.08188049104000272</x:v>
      </x:c>
      <x:c r="F99" s="118" t="n">
        <x:v>0.055962195369232345</x:v>
      </x:c>
      <x:c r="G99" s="118" t="n">
        <x:v>0.2775843271127327</x:v>
      </x:c>
      <x:c r="H99" s="118" t="n">
        <x:v>0.10019800062053126</x:v>
      </x:c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n">
        <x:v>51</x:v>
      </x:c>
      <x:c r="B100" s="118" t="n">
        <x:v>0.0732108087971234</x:v>
      </x:c>
      <x:c r="C100" s="118" t="n">
        <x:v>0.077314071596729</x:v>
      </x:c>
      <x:c r="D100" s="118" t="n">
        <x:v>0.6953063204803663</x:v>
      </x:c>
      <x:c r="E100" s="118" t="n">
        <x:v>0.29464734523591163</x:v>
      </x:c>
      <x:c r="F100" s="118" t="n">
        <x:v>0.08071388739230063</x:v>
      </x:c>
      <x:c r="G100" s="118" t="n">
        <x:v>0.2719184562554675</x:v>
      </x:c>
      <x:c r="H100" s="118" t="n">
        <x:v>0.1622740483814631</x:v>
      </x:c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n">
        <x:v>52</x:v>
      </x:c>
      <x:c r="B101" s="118" t="n">
        <x:v>0.06895189100417076</x:v>
      </x:c>
      <x:c r="C101" s="118" t="n">
        <x:v>0.06297637922151272</x:v>
      </x:c>
      <x:c r="D101" s="118" t="n">
        <x:v>0.7859779406532804</x:v>
      </x:c>
      <x:c r="E101" s="118" t="n">
        <x:v>0.06903971079686581</x:v>
      </x:c>
      <x:c r="F101" s="118" t="n">
        <x:v>0.053410158963273946</x:v>
      </x:c>
      <x:c r="G101" s="118" t="n">
        <x:v>0.3329105980448737</x:v>
      </x:c>
      <x:c r="H101" s="118" t="n">
        <x:v>0.32506024285936863</x:v>
      </x:c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n">
        <x:v>53</x:v>
      </x:c>
      <x:c r="B102" s="118" t="n">
        <x:v>0.08464120836175948</x:v>
      </x:c>
      <x:c r="C102" s="118" t="n">
        <x:v>0.11390773647863053</x:v>
      </x:c>
      <x:c r="D102" s="118" t="n">
        <x:v>0.5722821313383107</x:v>
      </x:c>
      <x:c r="E102" s="118" t="n">
        <x:v>0.4655952267245033</x:v>
      </x:c>
      <x:c r="F102" s="118" t="n">
        <x:v>0.1399661601666017</x:v>
      </x:c>
      <x:c r="G102" s="118" t="n">
        <x:v>0.18991197013727187</x:v>
      </x:c>
      <x:c r="H102" s="118" t="n">
        <x:v>0.08070678921940086</x:v>
      </x:c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n">
        <x:v>54</x:v>
      </x:c>
      <x:c r="B103" s="118" t="n">
        <x:v>0.0753037255183614</x:v>
      </x:c>
      <x:c r="C103" s="118" t="n">
        <x:v>0.09251155647198518</x:v>
      </x:c>
      <x:c r="D103" s="118" t="n">
        <x:v>0.6037070555766509</x:v>
      </x:c>
      <x:c r="E103" s="118" t="n">
        <x:v>0.17677078391300727</x:v>
      </x:c>
      <x:c r="F103" s="118" t="n">
        <x:v>0.22928212910205883</x:v>
      </x:c>
      <x:c r="G103" s="118" t="n">
        <x:v>0.22574789434222078</x:v>
      </x:c>
      <x:c r="H103" s="118" t="n">
        <x:v>0.09525456440731893</x:v>
      </x:c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n">
        <x:v>55</x:v>
      </x:c>
      <x:c r="B104" s="118" t="n">
        <x:v>0.09966990728909032</x:v>
      </x:c>
      <x:c r="C104" s="118" t="n">
        <x:v>0.17225102613257331</x:v>
      </x:c>
      <x:c r="D104" s="118" t="n">
        <x:v>0.46569279113324835</x:v>
      </x:c>
      <x:c r="E104" s="118" t="n">
        <x:v>0.03458580134234483</x:v>
      </x:c>
      <x:c r="F104" s="118" t="n">
        <x:v>0.5798089877543146</x:v>
      </x:c>
      <x:c r="G104" s="118" t="n">
        <x:v>0.01711522007445636</x:v>
      </x:c>
      <x:c r="H104" s="118" t="n">
        <x:v>0.2328706959523889</x:v>
      </x:c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n">
        <x:v>56</x:v>
      </x:c>
      <x:c r="B105" s="118" t="n">
        <x:v>0.08631846751312763</x:v>
      </x:c>
      <x:c r="C105" s="118" t="n">
        <x:v>0.08108552048916078</x:v>
      </x:c>
      <x:c r="D105" s="118" t="n">
        <x:v>0.8246185133413518</x:v>
      </x:c>
      <x:c r="E105" s="118" t="n">
        <x:v>0.1294120129690231</x:v>
      </x:c>
      <x:c r="F105" s="118" t="n">
        <x:v>0.010280571872155801</x:v>
      </x:c>
      <x:c r="G105" s="118" t="n">
        <x:v>0.0014471597422722666</x:v>
      </x:c>
      <x:c r="H105" s="118" t="n">
        <x:v>0.2388452724445721</x:v>
      </x:c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n">
        <x:v>57</x:v>
      </x:c>
      <x:c r="B106" s="118" t="n">
        <x:v>0.07545754960475162</x:v>
      </x:c>
      <x:c r="C106" s="118" t="n">
        <x:v>0.09584040239783494</x:v>
      </x:c>
      <x:c r="D106" s="118" t="n">
        <x:v>0.5843433671994955</x:v>
      </x:c>
      <x:c r="E106" s="118" t="n">
        <x:v>0.43019557121470386</x:v>
      </x:c>
      <x:c r="F106" s="118" t="n">
        <x:v>0.04546856963513908</x:v>
      </x:c>
      <x:c r="G106" s="118" t="n">
        <x:v>0.08952148975110076</x:v>
      </x:c>
      <x:c r="H106" s="118" t="n">
        <x:v>0.1856657018465564</x:v>
      </x:c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n">
        <x:v>58</x:v>
      </x:c>
      <x:c r="B107" s="118" t="n">
        <x:v>0.07579474778648206</x:v>
      </x:c>
      <x:c r="C107" s="118" t="n">
        <x:v>0.08303591457488978</x:v>
      </x:c>
      <x:c r="D107" s="118" t="n">
        <x:v>0.6785124475484913</x:v>
      </x:c>
      <x:c r="E107" s="118" t="n">
        <x:v>0.026338662805808804</x:v>
      </x:c>
      <x:c r="F107" s="118" t="n">
        <x:v>0.006187488504744484</x:v>
      </x:c>
      <x:c r="G107" s="118" t="n">
        <x:v>0.40251016745706175</x:v>
      </x:c>
      <x:c r="H107" s="118" t="n">
        <x:v>0.17682747207007787</x:v>
      </x:c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n">
        <x:v>59</x:v>
      </x:c>
      <x:c r="B108" s="118" t="n">
        <x:v>0.09515421974515365</x:v>
      </x:c>
      <x:c r="C108" s="118" t="n">
        <x:v>0.13447886794026526</x:v>
      </x:c>
      <x:c r="D108" s="118" t="n">
        <x:v>0.5629164994527851</x:v>
      </x:c>
      <x:c r="E108" s="118" t="n">
        <x:v>0.38382382157859274</x:v>
      </x:c>
      <x:c r="F108" s="118" t="n">
        <x:v>0.24257673501503302</x:v>
      </x:c>
      <x:c r="G108" s="118" t="n">
        <x:v>0.023314677488080977</x:v>
      </x:c>
      <x:c r="H108" s="118" t="n">
        <x:v>0.134322843825967</x:v>
      </x:c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n">
        <x:v>60</x:v>
      </x:c>
      <x:c r="B109" s="118" t="n">
        <x:v>0.06982212501530642</x:v>
      </x:c>
      <x:c r="C109" s="118" t="n">
        <x:v>0.07550708687143448</x:v>
      </x:c>
      <x:c r="D109" s="118" t="n">
        <x:v>0.6670669065437801</x:v>
      </x:c>
      <x:c r="E109" s="118" t="n">
        <x:v>0.3181888734892538</x:v>
      </x:c>
      <x:c r="F109" s="118" t="n">
        <x:v>0.06011857161319919</x:v>
      </x:c>
      <x:c r="G109" s="118" t="n">
        <x:v>0.35042752772584124</x:v>
      </x:c>
      <x:c r="H109" s="118" t="n">
        <x:v>0.20069734736699238</x:v>
      </x:c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n">
        <x:v>61</x:v>
      </x:c>
      <x:c r="B110" s="118" t="n">
        <x:v>0.068775098952527</x:v>
      </x:c>
      <x:c r="C110" s="118" t="n">
        <x:v>0.06833844993761753</x:v>
      </x:c>
      <x:c r="D110" s="118" t="n">
        <x:v>0.7217203908444446</x:v>
      </x:c>
      <x:c r="E110" s="118" t="n">
        <x:v>0.2359157953710087</x:v>
      </x:c>
      <x:c r="F110" s="118" t="n">
        <x:v>0.013503725278927048</x:v>
      </x:c>
      <x:c r="G110" s="118" t="n">
        <x:v>0.04125617213293122</x:v>
      </x:c>
      <x:c r="H110" s="118" t="n">
        <x:v>0.006657345029691992</x:v>
      </x:c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n">
        <x:v>62</x:v>
      </x:c>
      <x:c r="B111" s="118" t="n">
        <x:v>0.09778940519114052</x:v>
      </x:c>
      <x:c r="C111" s="118" t="n">
        <x:v>0.12777609906393653</x:v>
      </x:c>
      <x:c r="D111" s="118" t="n">
        <x:v>0.6130689511666565</x:v>
      </x:c>
      <x:c r="E111" s="118" t="n">
        <x:v>0.142261689531385</x:v>
      </x:c>
      <x:c r="F111" s="118" t="n">
        <x:v>0.3609826385338697</x:v>
      </x:c>
      <x:c r="G111" s="118" t="n">
        <x:v>0.16980886275484186</x:v>
      </x:c>
      <x:c r="H111" s="118" t="n">
        <x:v>0.03058292436410513</x:v>
      </x:c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n">
        <x:v>63</x:v>
      </x:c>
      <x:c r="B112" s="118" t="n">
        <x:v>0.08080542613646327</x:v>
      </x:c>
      <x:c r="C112" s="118" t="n">
        <x:v>0.10590968927792573</x:v>
      </x:c>
      <x:c r="D112" s="118" t="n">
        <x:v>0.5792820317092966</x:v>
      </x:c>
      <x:c r="E112" s="118" t="n">
        <x:v>0.08956331762991648</x:v>
      </x:c>
      <x:c r="F112" s="118" t="n">
        <x:v>0.3391560119056194</x:v>
      </x:c>
      <x:c r="G112" s="118" t="n">
        <x:v>0.34214048513875944</x:v>
      </x:c>
      <x:c r="H112" s="118" t="n">
        <x:v>0.13729095014296094</x:v>
      </x:c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n">
        <x:v>64</x:v>
      </x:c>
      <x:c r="B113" s="118" t="n">
        <x:v>0.09075378922263236</x:v>
      </x:c>
      <x:c r="C113" s="118" t="n">
        <x:v>0.13960754283356328</x:v>
      </x:c>
      <x:c r="D113" s="118" t="n">
        <x:v>0.5107169829196713</x:v>
      </x:c>
      <x:c r="E113" s="118" t="n">
        <x:v>0.37329000460270195</x:v>
      </x:c>
      <x:c r="F113" s="118" t="n">
        <x:v>0.28183212731989166</x:v>
      </x:c>
      <x:c r="G113" s="118" t="n">
        <x:v>0.023478829386671226</x:v>
      </x:c>
      <x:c r="H113" s="118" t="n">
        <x:v>0.10441444066706655</x:v>
      </x:c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n">
        <x:v>65</x:v>
      </x:c>
      <x:c r="B114" s="118" t="n">
        <x:v>0.07213552506262656</x:v>
      </x:c>
      <x:c r="C114" s="118" t="n">
        <x:v>0.07615199389766646</x:v>
      </x:c>
      <x:c r="D114" s="118" t="n">
        <x:v>0.6917964482922717</x:v>
      </x:c>
      <x:c r="E114" s="118" t="n">
        <x:v>0.1390914338463988</x:v>
      </x:c>
      <x:c r="F114" s="118" t="n">
        <x:v>0.1944557249830194</x:v>
      </x:c>
      <x:c r="G114" s="118" t="n">
        <x:v>0.34294483434429274</x:v>
      </x:c>
      <x:c r="H114" s="118" t="n">
        <x:v>0.0278311657007233</x:v>
      </x:c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n">
        <x:v>66</x:v>
      </x:c>
      <x:c r="B115" s="118" t="n">
        <x:v>0.07761018052403189</x:v>
      </x:c>
      <x:c r="C115" s="118" t="n">
        <x:v>0.09524403665842368</x:v>
      </x:c>
      <x:c r="D115" s="118" t="n">
        <x:v>0.610603418445539</x:v>
      </x:c>
      <x:c r="E115" s="118" t="n">
        <x:v>0.1430733147048571</x:v>
      </x:c>
      <x:c r="F115" s="118" t="n">
        <x:v>0.18398084786038416</x:v>
      </x:c>
      <x:c r="G115" s="118" t="n">
        <x:v>0.07377266826159441</x:v>
      </x:c>
      <x:c r="H115" s="118" t="n">
        <x:v>0.5305191437435307</x:v>
      </x:c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 t="n">
        <x:v>67</x:v>
      </x:c>
      <x:c r="B116" s="118" t="n">
        <x:v>0.09292764036015094</x:v>
      </x:c>
      <x:c r="C116" s="118" t="n">
        <x:v>0.11321739312659727</x:v>
      </x:c>
      <x:c r="D116" s="118" t="n">
        <x:v>0.6489620735583265</x:v>
      </x:c>
      <x:c r="E116" s="118" t="n">
        <x:v>0.17235857917345493</x:v>
      </x:c>
      <x:c r="F116" s="118" t="n">
        <x:v>0.25626354984202043</x:v>
      </x:c>
      <x:c r="G116" s="118" t="n">
        <x:v>0.033164920258762484</x:v>
      </x:c>
      <x:c r="H116" s="118" t="n">
        <x:v>0.11482971270173788</x:v>
      </x:c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 t="n">
        <x:v>68</x:v>
      </x:c>
      <x:c r="B117" s="118" t="n">
        <x:v>0.1015727185150561</x:v>
      </x:c>
      <x:c r="C117" s="118" t="n">
        <x:v>0.1313575792740699</x:v>
      </x:c>
      <x:c r="D117" s="118" t="n">
        <x:v>0.6251551894837657</x:v>
      </x:c>
      <x:c r="E117" s="118" t="n">
        <x:v>0.28277899617576663</x:v>
      </x:c>
      <x:c r="F117" s="118" t="n">
        <x:v>0.26257858849520127</x:v>
      </x:c>
      <x:c r="G117" s="118" t="n">
        <x:v>0.00871806281714704</x:v>
      </x:c>
      <x:c r="H117" s="118" t="n">
        <x:v>0.02557231483593681</x:v>
      </x:c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 t="n">
        <x:v>69</x:v>
      </x:c>
      <x:c r="B118" s="118" t="n">
        <x:v>0.10350689173882525</x:v>
      </x:c>
      <x:c r="C118" s="118" t="n">
        <x:v>0.15365377403738048</x:v>
      </x:c>
      <x:c r="D118" s="118" t="n">
        <x:v>0.5470288387744443</x:v>
      </x:c>
      <x:c r="E118" s="118" t="n">
        <x:v>0.22909416884161382</x:v>
      </x:c>
      <x:c r="F118" s="118" t="n">
        <x:v>0.4086926741839998</x:v>
      </x:c>
      <x:c r="G118" s="118" t="n">
        <x:v>0.02659342519367461</x:v>
      </x:c>
      <x:c r="H118" s="118" t="n">
        <x:v>0.1017981492329728</x:v>
      </x:c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 t="n">
        <x:v>70</x:v>
      </x:c>
      <x:c r="B119" s="118" t="n">
        <x:v>0.08069057531426373</x:v>
      </x:c>
      <x:c r="C119" s="118" t="n">
        <x:v>0.08994278329529214</x:v>
      </x:c>
      <x:c r="D119" s="118" t="n">
        <x:v>0.6808409403939679</x:v>
      </x:c>
      <x:c r="E119" s="118" t="n">
        <x:v>0.18141582019804425</x:v>
      </x:c>
      <x:c r="F119" s="118" t="n">
        <x:v>0.16494310543598464</x:v>
      </x:c>
      <x:c r="G119" s="118" t="n">
        <x:v>0.1568172849842021</x:v>
      </x:c>
      <x:c r="H119" s="118" t="n">
        <x:v>0.3233981138435096</x:v>
      </x:c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 t="n">
        <x:v>71</x:v>
      </x:c>
      <x:c r="B120" s="118" t="n">
        <x:v>0.06641588777541643</x:v>
      </x:c>
      <x:c r="C120" s="118" t="n">
        <x:v>0.058440273341505276</x:v>
      </x:c>
      <x:c r="D120" s="118" t="n">
        <x:v>0.803590382733837</x:v>
      </x:c>
      <x:c r="E120" s="118" t="n">
        <x:v>0.010156470809352586</x:v>
      </x:c>
      <x:c r="F120" s="118" t="n">
        <x:v>0.09082841045653475</x:v>
      </x:c>
      <x:c r="G120" s="118" t="n">
        <x:v>0.057041525454587606</x:v>
      </x:c>
      <x:c r="H120" s="118" t="n">
        <x:v>0.32620828508203964</x:v>
      </x:c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 t="n">
        <x:v>72</x:v>
      </x:c>
      <x:c r="B121" s="118" t="n">
        <x:v>0.09206136964557216</x:v>
      </x:c>
      <x:c r="C121" s="118" t="n">
        <x:v>0.10042547539505615</x:v>
      </x:c>
      <x:c r="D121" s="118" t="n">
        <x:v>0.7229990518451695</x:v>
      </x:c>
      <x:c r="E121" s="118" t="n">
        <x:v>0.3692209623164209</x:v>
      </x:c>
      <x:c r="F121" s="118" t="n">
        <x:v>0.01727202214935086</x:v>
      </x:c>
      <x:c r="G121" s="118" t="n">
        <x:v>0.147444878843737</x:v>
      </x:c>
      <x:c r="H121" s="118" t="n">
        <x:v>0.10443885207385899</x:v>
      </x:c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 t="n">
        <x:v>73</x:v>
      </x:c>
      <x:c r="B122" s="118" t="n">
        <x:v>0.08352229505847086</x:v>
      </x:c>
      <x:c r="C122" s="118" t="n">
        <x:v>0.07925425428931426</x:v>
      </x:c>
      <x:c r="D122" s="118" t="n">
        <x:v>0.8083912905261285</x:v>
      </x:c>
      <x:c r="E122" s="118" t="n">
        <x:v>0.24368921574526445</x:v>
      </x:c>
      <x:c r="F122" s="118" t="n">
        <x:v>0.0030958798576223405</x:v>
      </x:c>
      <x:c r="G122" s="118" t="n">
        <x:v>0.10211724922553757</x:v>
      </x:c>
      <x:c r="H122" s="118" t="n">
        <x:v>0.16435642803867026</x:v>
      </x:c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 t="n">
        <x:v>74</x:v>
      </x:c>
      <x:c r="B123" s="118" t="n">
        <x:v>0.09224458370527618</x:v>
      </x:c>
      <x:c r="C123" s="118" t="n">
        <x:v>0.09990534911357987</x:v>
      </x:c>
      <x:c r="D123" s="118" t="n">
        <x:v>0.7285969990323148</x:v>
      </x:c>
      <x:c r="E123" s="118" t="n">
        <x:v>0.02537190304363379</x:v>
      </x:c>
      <x:c r="F123" s="118" t="n">
        <x:v>0.1093795117394386</x:v>
      </x:c>
      <x:c r="G123" s="118" t="n">
        <x:v>0.15116531231755448</x:v>
      </x:c>
      <x:c r="H123" s="118" t="n">
        <x:v>0.2994038794053693</x:v>
      </x:c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 t="n">
        <x:v>75</x:v>
      </x:c>
      <x:c r="B124" s="118" t="n">
        <x:v>0.10057940165795128</x:v>
      </x:c>
      <x:c r="C124" s="118" t="n">
        <x:v>0.11252324096145358</x:v>
      </x:c>
      <x:c r="D124" s="118" t="n">
        <x:v>0.7209671069809998</x:v>
      </x:c>
      <x:c r="E124" s="118" t="n">
        <x:v>0.024455388699069144</x:v>
      </x:c>
      <x:c r="F124" s="118" t="n">
        <x:v>0.23286017717264024</x:v>
      </x:c>
      <x:c r="G124" s="118" t="n">
        <x:v>0.0236593433662711</x:v>
      </x:c>
      <x:c r="H124" s="118" t="n">
        <x:v>0.04132770683083009</x:v>
      </x:c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 t="n">
        <x:v>76</x:v>
      </x:c>
      <x:c r="B125" s="118" t="n">
        <x:v>0.06918766358619506</x:v>
      </x:c>
      <x:c r="C125" s="118" t="n">
        <x:v>0.06998129553652217</x:v>
      </x:c>
      <x:c r="D125" s="118" t="n">
        <x:v>0.710673002708182</x:v>
      </x:c>
      <x:c r="E125" s="118" t="n">
        <x:v>0.05522629811730037</x:v>
      </x:c>
      <x:c r="F125" s="118" t="n">
        <x:v>0.1940591717810076</x:v>
      </x:c>
      <x:c r="G125" s="118" t="n">
        <x:v>0.3247644325215234</x:v>
      </x:c>
      <x:c r="H125" s="118" t="n">
        <x:v>0.10921140061649644</x:v>
      </x:c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 t="n">
        <x:v>77</x:v>
      </x:c>
      <x:c r="B126" s="118" t="n">
        <x:v>0.10295030342781188</x:v>
      </x:c>
      <x:c r="C126" s="118" t="n">
        <x:v>0.1199756619048908</x:v>
      </x:c>
      <x:c r="D126" s="118" t="n">
        <x:v>0.6959449604050235</x:v>
      </x:c>
      <x:c r="E126" s="118" t="n">
        <x:v>0.08906498459489237</x:v>
      </x:c>
      <x:c r="F126" s="118" t="n">
        <x:v>0.029590771854475797</x:v>
      </x:c>
      <x:c r="G126" s="118" t="n">
        <x:v>0.019865038137182687</x:v>
      </x:c>
      <x:c r="H126" s="118" t="n">
        <x:v>0.2220212921323245</x:v>
      </x:c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 t="n">
        <x:v>78</x:v>
      </x:c>
      <x:c r="B127" s="118" t="n">
        <x:v>0.07299011362392294</x:v>
      </x:c>
      <x:c r="C127" s="118" t="n">
        <x:v>0.0655581939174161</x:v>
      </x:c>
      <x:c r="D127" s="118" t="n">
        <x:v>0.8166220615765684</x:v>
      </x:c>
      <x:c r="E127" s="118" t="n">
        <x:v>0.10796084383459671</x:v>
      </x:c>
      <x:c r="F127" s="118" t="n">
        <x:v>0.07876826286077214</x:v>
      </x:c>
      <x:c r="G127" s="118" t="n">
        <x:v>0.22442292895945753</x:v>
      </x:c>
      <x:c r="H127" s="118" t="n">
        <x:v>0.29468987031813176</x:v>
      </x:c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 t="n">
        <x:v>79</x:v>
      </x:c>
      <x:c r="B128" s="118" t="n">
        <x:v>0.08836926868286385</x:v>
      </x:c>
      <x:c r="C128" s="118" t="n">
        <x:v>0.08858007302983685</x:v>
      </x:c>
      <x:c r="D128" s="118" t="n">
        <x:v>0.7780014191883154</x:v>
      </x:c>
      <x:c r="E128" s="118" t="n">
        <x:v>0.17392699891370406</x:v>
      </x:c>
      <x:c r="F128" s="118" t="n">
        <x:v>0.10679266351840708</x:v>
      </x:c>
      <x:c r="G128" s="118" t="n">
        <x:v>0.030524870227855112</x:v>
      </x:c>
      <x:c r="H128" s="118" t="n">
        <x:v>0.03964915836516455</x:v>
      </x:c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 t="n">
        <x:v>80</x:v>
      </x:c>
      <x:c r="B129" s="118" t="n">
        <x:v>0.09041412215101122</x:v>
      </x:c>
      <x:c r="C129" s="118" t="n">
        <x:v>0.10620482392432527</x:v>
      </x:c>
      <x:c r="D129" s="118" t="n">
        <x:v>0.6681455076628797</x:v>
      </x:c>
      <x:c r="E129" s="118" t="n">
        <x:v>0.13942459136530025</x:v>
      </x:c>
      <x:c r="F129" s="118" t="n">
        <x:v>0.24335412496005254</x:v>
      </x:c>
      <x:c r="G129" s="118" t="n">
        <x:v>0.06382895848242497</x:v>
      </x:c>
      <x:c r="H129" s="118" t="n">
        <x:v>0.18072785351017698</x:v>
      </x:c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 t="n">
        <x:v>81</x:v>
      </x:c>
      <x:c r="B130" s="118" t="n">
        <x:v>0.1135044709044839</x:v>
      </x:c>
      <x:c r="C130" s="118" t="n">
        <x:v>0.1396735555372117</x:v>
      </x:c>
      <x:c r="D130" s="118" t="n">
        <x:v>0.67336028204409</x:v>
      </x:c>
      <x:c r="E130" s="118" t="n">
        <x:v>0.030684886289256818</x:v>
      </x:c>
      <x:c r="F130" s="118" t="n">
        <x:v>0.27902349581719227</x:v>
      </x:c>
      <x:c r="G130" s="118" t="n">
        <x:v>0.029464803480082274</x:v>
      </x:c>
      <x:c r="H130" s="118" t="n">
        <x:v>0.07079431679306136</x:v>
      </x:c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 t="n">
        <x:v>82</x:v>
      </x:c>
      <x:c r="B131" s="118" t="n">
        <x:v>0.09582406807207869</x:v>
      </x:c>
      <x:c r="C131" s="118" t="n">
        <x:v>0.11032142827976632</x:v>
      </x:c>
      <x:c r="D131" s="118" t="n">
        <x:v>0.6922519324583413</x:v>
      </x:c>
      <x:c r="E131" s="118" t="n">
        <x:v>0.03936518288032579</x:v>
      </x:c>
      <x:c r="F131" s="118" t="n">
        <x:v>0.2794755878952613</x:v>
      </x:c>
      <x:c r="G131" s="118" t="n">
        <x:v>0.0867783595814108</x:v>
      </x:c>
      <x:c r="H131" s="118" t="n">
        <x:v>0.12056361920425612</x:v>
      </x:c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 t="n">
        <x:v>83</x:v>
      </x:c>
      <x:c r="B132" s="118" t="n">
        <x:v>0.0746874055405182</x:v>
      </x:c>
      <x:c r="C132" s="118" t="n">
        <x:v>0.08423502319610732</x:v>
      </x:c>
      <x:c r="D132" s="118" t="n">
        <x:v>0.6557077720283041</x:v>
      </x:c>
      <x:c r="E132" s="118" t="n">
        <x:v>0.2793428743728781</x:v>
      </x:c>
      <x:c r="F132" s="118" t="n">
        <x:v>0.12629761365161993</x:v>
      </x:c>
      <x:c r="G132" s="118" t="n">
        <x:v>0.21123002426980478</x:v>
      </x:c>
      <x:c r="H132" s="118" t="n">
        <x:v>0.1034254433533487</x:v>
      </x:c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 t="n">
        <x:v>84</x:v>
      </x:c>
      <x:c r="B133" s="118" t="n">
        <x:v>0.07907246408423631</x:v>
      </x:c>
      <x:c r="C133" s="118" t="n">
        <x:v>0.09333821529191566</x:v>
      </x:c>
      <x:c r="D133" s="118" t="n">
        <x:v>0.6387374961470248</x:v>
      </x:c>
      <x:c r="E133" s="118" t="n">
        <x:v>0.2194331918262793</x:v>
      </x:c>
      <x:c r="F133" s="118" t="n">
        <x:v>0.23218706617622595</x:v>
      </x:c>
      <x:c r="G133" s="118" t="n">
        <x:v>0.3964755998403538</x:v>
      </x:c>
      <x:c r="H133" s="118" t="n">
        <x:v>0.03270885833218965</x:v>
      </x:c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 t="n">
        <x:v>85</x:v>
      </x:c>
      <x:c r="B134" s="118" t="n">
        <x:v>0.055811409594993235</x:v>
      </x:c>
      <x:c r="C134" s="118" t="n">
        <x:v>0.04317195002060208</x:v>
      </x:c>
      <x:c r="D134" s="118" t="n">
        <x:v>0.8421570817115486</x:v>
      </x:c>
      <x:c r="E134" s="118" t="n">
        <x:v>0.10993192882802752</x:v>
      </x:c>
      <x:c r="F134" s="118" t="n">
        <x:v>0.0035180849897719925</x:v>
      </x:c>
      <x:c r="G134" s="118" t="n">
        <x:v>0.31668259807742505</x:v>
      </x:c>
      <x:c r="H134" s="118" t="n">
        <x:v>0.03294175681562781</x:v>
      </x:c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 t="n">
        <x:v>86</x:v>
      </x:c>
      <x:c r="B135" s="118" t="n">
        <x:v>0.08629567829995717</x:v>
      </x:c>
      <x:c r="C135" s="118" t="n">
        <x:v>0.11539935426788021</x:v>
      </x:c>
      <x:c r="D135" s="118" t="n">
        <x:v>0.5792218905397766</x:v>
      </x:c>
      <x:c r="E135" s="118" t="n">
        <x:v>0.1931447569824037</x:v>
      </x:c>
      <x:c r="F135" s="118" t="n">
        <x:v>0.28235769849038744</x:v>
      </x:c>
      <x:c r="G135" s="118" t="n">
        <x:v>0.08663261037571553</x:v>
      </x:c>
      <x:c r="H135" s="118" t="n">
        <x:v>0.20096883940040064</x:v>
      </x:c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 t="n">
        <x:v>87</x:v>
      </x:c>
      <x:c r="B136" s="118" t="n">
        <x:v>0.08909673291432432</x:v>
      </x:c>
      <x:c r="C136" s="118" t="n">
        <x:v>0.08811336464963887</x:v>
      </x:c>
      <x:c r="D136" s="118" t="n">
        <x:v>0.7903782478106015</x:v>
      </x:c>
      <x:c r="E136" s="118" t="n">
        <x:v>0.18096309414322842</x:v>
      </x:c>
      <x:c r="F136" s="118" t="n">
        <x:v>0.06570177699915844</x:v>
      </x:c>
      <x:c r="G136" s="118" t="n">
        <x:v>0.07031357316197132</x:v>
      </x:c>
      <x:c r="H136" s="118" t="n">
        <x:v>0.1476757698280565</x:v>
      </x:c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 t="n">
        <x:v>88</x:v>
      </x:c>
      <x:c r="B137" s="118" t="n">
        <x:v>0.08148226704269812</x:v>
      </x:c>
      <x:c r="C137" s="118" t="n">
        <x:v>0.07751184723241418</x:v>
      </x:c>
      <x:c r="D137" s="118" t="n">
        <x:v>0.800244389775202</x:v>
      </x:c>
      <x:c r="E137" s="118" t="n">
        <x:v>0.0415282246423632</x:v>
      </x:c>
      <x:c r="F137" s="118" t="n">
        <x:v>0.11596649930621869</x:v>
      </x:c>
      <x:c r="G137" s="118" t="n">
        <x:v>0.3013969584771581</x:v>
      </x:c>
      <x:c r="H137" s="118" t="n">
        <x:v>0.027373402584095572</x:v>
      </x:c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 t="n">
        <x:v>89</x:v>
      </x:c>
      <x:c r="B138" s="118" t="n">
        <x:v>0.08313855333914345</x:v>
      </x:c>
      <x:c r="C138" s="118" t="n">
        <x:v>0.09635551126077453</x:v>
      </x:c>
      <x:c r="D138" s="118" t="n">
        <x:v>0.6609347649346423</x:v>
      </x:c>
      <x:c r="E138" s="118" t="n">
        <x:v>0.39033566780821144</x:v>
      </x:c>
      <x:c r="F138" s="118" t="n">
        <x:v>0.04377140438275213</x:v>
      </x:c>
      <x:c r="G138" s="118" t="n">
        <x:v>0.01588288114359262</x:v>
      </x:c>
      <x:c r="H138" s="118" t="n">
        <x:v>0.2059204721255984</x:v>
      </x:c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 t="n">
        <x:v>90</x:v>
      </x:c>
      <x:c r="B139" s="118" t="n">
        <x:v>0.08691269224988718</x:v>
      </x:c>
      <x:c r="C139" s="118" t="n">
        <x:v>0.11948490428553886</x:v>
      </x:c>
      <x:c r="D139" s="118" t="n">
        <x:v>0.5645804924012104</x:v>
      </x:c>
      <x:c r="E139" s="118" t="n">
        <x:v>0.08594853519859973</x:v>
      </x:c>
      <x:c r="F139" s="118" t="n">
        <x:v>0.34464709183332204</x:v>
      </x:c>
      <x:c r="G139" s="118" t="n">
        <x:v>0.06456796729488581</x:v>
      </x:c>
      <x:c r="H139" s="118" t="n">
        <x:v>0.2428881961253058</x:v>
      </x:c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 t="n">
        <x:v>91</x:v>
      </x:c>
      <x:c r="B140" s="118" t="n">
        <x:v>0.10694475969890654</x:v>
      </x:c>
      <x:c r="C140" s="118" t="n">
        <x:v>0.15956080288446697</x:v>
      </x:c>
      <x:c r="D140" s="118" t="n">
        <x:v>0.548323347360002</x:v>
      </x:c>
      <x:c r="E140" s="118" t="n">
        <x:v>0.3580448939507153</x:v>
      </x:c>
      <x:c r="F140" s="118" t="n">
        <x:v>0.36698167476166255</x:v>
      </x:c>
      <x:c r="G140" s="118" t="n">
        <x:v>0.03691098060235434</x:v>
      </x:c>
      <x:c r="H140" s="118" t="n">
        <x:v>0.017277011348800587</x:v>
      </x:c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 t="n">
        <x:v>92</x:v>
      </x:c>
      <x:c r="B141" s="118" t="n">
        <x:v>0.10941996350436807</x:v>
      </x:c>
      <x:c r="C141" s="118" t="n">
        <x:v>0.1294293978884089</x:v>
      </x:c>
      <x:c r="D141" s="118" t="n">
        <x:v>0.6950980134210982</x:v>
      </x:c>
      <x:c r="E141" s="118" t="n">
        <x:v>0.23471592067746433</x:v>
      </x:c>
      <x:c r="F141" s="118" t="n">
        <x:v>0.1361610088484819</x:v>
      </x:c>
      <x:c r="G141" s="118" t="n">
        <x:v>0.043951153521082705</x:v>
      </x:c>
      <x:c r="H141" s="118" t="n">
        <x:v>0.040194289238230256</x:v>
      </x:c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 t="n">
        <x:v>93</x:v>
      </x:c>
      <x:c r="B142" s="118" t="n">
        <x:v>0.06709842712398338</x:v>
      </x:c>
      <x:c r="C142" s="118" t="n">
        <x:v>0.0641501107314389</x:v>
      </x:c>
      <x:c r="D142" s="118" t="n">
        <x:v>0.7427045787901876</x:v>
      </x:c>
      <x:c r="E142" s="118" t="n">
        <x:v>0.167141093548738</x:v>
      </x:c>
      <x:c r="F142" s="118" t="n">
        <x:v>0.015269255302750022</x:v>
      </x:c>
      <x:c r="G142" s="118" t="n">
        <x:v>0.148801902494252</x:v>
      </x:c>
      <x:c r="H142" s="118" t="n">
        <x:v>0.5244360661923186</x:v>
      </x:c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 t="n">
        <x:v>94</x:v>
      </x:c>
      <x:c r="B143" s="118" t="n">
        <x:v>0.05936787758049368</x:v>
      </x:c>
      <x:c r="C143" s="118" t="n">
        <x:v>0.04453431024017896</x:v>
      </x:c>
      <x:c r="D143" s="118" t="n">
        <x:v>0.8962535000853564</x:v>
      </x:c>
      <x:c r="E143" s="118" t="n">
        <x:v>0.04256874069728179</x:v>
      </x:c>
      <x:c r="F143" s="118" t="n">
        <x:v>0.04623597640453711</x:v>
      </x:c>
      <x:c r="G143" s="118" t="n">
        <x:v>0.3259540218241986</x:v>
      </x:c>
      <x:c r="H143" s="118" t="n">
        <x:v>0.06551053058041606</x:v>
      </x:c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 t="n">
        <x:v>95</x:v>
      </x:c>
      <x:c r="B144" s="118" t="n">
        <x:v>0.06919580364655903</x:v>
      </x:c>
      <x:c r="C144" s="118" t="n">
        <x:v>0.06817277858497993</x:v>
      </x:c>
      <x:c r="D144" s="118" t="n">
        <x:v>0.7296454468363447</x:v>
      </x:c>
      <x:c r="E144" s="118" t="n">
        <x:v>0.17555108060631908</x:v>
      </x:c>
      <x:c r="F144" s="118" t="n">
        <x:v>0.11375813968037689</x:v>
      </x:c>
      <x:c r="G144" s="118" t="n">
        <x:v>0.2227899197616736</x:v>
      </x:c>
      <x:c r="H144" s="118" t="n">
        <x:v>0.06417024108826137</x:v>
      </x:c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 t="n">
        <x:v>96</x:v>
      </x:c>
      <x:c r="B145" s="118" t="n">
        <x:v>0.0815308719859171</x:v>
      </x:c>
      <x:c r="C145" s="118" t="n">
        <x:v>0.12042363210647063</x:v>
      </x:c>
      <x:c r="D145" s="118" t="n">
        <x:v>0.515488735443443</x:v>
      </x:c>
      <x:c r="E145" s="118" t="n">
        <x:v>0.111981631286217</x:v>
      </x:c>
      <x:c r="F145" s="118" t="n">
        <x:v>0.40979629193702805</x:v>
      </x:c>
      <x:c r="G145" s="118" t="n">
        <x:v>0.34961706955830624</x:v>
      </x:c>
      <x:c r="H145" s="118" t="n">
        <x:v>0.01130392594035541</x:v>
      </x:c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 t="n">
        <x:v>97</x:v>
      </x:c>
      <x:c r="B146" s="118" t="n">
        <x:v>0.08706271024290746</x:v>
      </x:c>
      <x:c r="C146" s="118" t="n">
        <x:v>0.0865015037112694</x:v>
      </x:c>
      <x:c r="D146" s="118" t="n">
        <x:v>0.7815917780427352</x:v>
      </x:c>
      <x:c r="E146" s="118" t="n">
        <x:v>0.16752937379661745</x:v>
      </x:c>
      <x:c r="F146" s="118" t="n">
        <x:v>0.0339883816264811</x:v>
      </x:c>
      <x:c r="G146" s="118" t="n">
        <x:v>0.08412555055690836</x:v>
      </x:c>
      <x:c r="H146" s="118" t="n">
        <x:v>0.32178374771837764</x:v>
      </x:c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 t="n">
        <x:v>98</x:v>
      </x:c>
      <x:c r="B147" s="118" t="n">
        <x:v>0.08476669229184094</x:v>
      </x:c>
      <x:c r="C147" s="118" t="n">
        <x:v>0.08252441982645273</x:v>
      </x:c>
      <x:c r="D147" s="118" t="n">
        <x:v>0.7914365987103751</x:v>
      </x:c>
      <x:c r="E147" s="118" t="n">
        <x:v>0.04929610979380475</x:v>
      </x:c>
      <x:c r="F147" s="118" t="n">
        <x:v>0.0182596694111831</x:v>
      </x:c>
      <x:c r="G147" s="118" t="n">
        <x:v>0.13161660542340586</x:v>
      </x:c>
      <x:c r="H147" s="118" t="n">
        <x:v>0.16525682927422097</x:v>
      </x:c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 t="n">
        <x:v>99</x:v>
      </x:c>
      <x:c r="B148" s="118" t="n">
        <x:v>0.07499276538035542</x:v>
      </x:c>
      <x:c r="C148" s="118" t="n">
        <x:v>0.08226731754076072</x:v>
      </x:c>
      <x:c r="D148" s="118" t="n">
        <x:v>0.6751030772212984</x:v>
      </x:c>
      <x:c r="E148" s="118" t="n">
        <x:v>0.32188234581340236</x:v>
      </x:c>
      <x:c r="F148" s="118" t="n">
        <x:v>0.03772918992517381</x:v>
      </x:c>
      <x:c r="G148" s="118" t="n">
        <x:v>0.03627619743200397</x:v>
      </x:c>
      <x:c r="H148" s="118" t="n">
        <x:v>0.0766099145783749</x:v>
      </x:c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 t="n">
        <x:v>100</x:v>
      </x:c>
      <x:c r="B149" s="118" t="n">
        <x:v>0.07985443892287773</x:v>
      </x:c>
      <x:c r="C149" s="118" t="n">
        <x:v>0.10417664400030097</x:v>
      </x:c>
      <x:c r="D149" s="118" t="n">
        <x:v>0.5797901568883048</x:v>
      </x:c>
      <x:c r="E149" s="118" t="n">
        <x:v>0.32986422149268085</x:v>
      </x:c>
      <x:c r="F149" s="118" t="n">
        <x:v>0.16257540154881628</x:v>
      </x:c>
      <x:c r="G149" s="118" t="n">
        <x:v>0.08460640345492063</x:v>
      </x:c>
      <x:c r="H149" s="118" t="n">
        <x:v>0.06435107292046029</x:v>
      </x:c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 t="n">
        <x:v>101</x:v>
      </x:c>
      <x:c r="B150" s="118" t="n">
        <x:v>0.09239215355413272</x:v>
      </x:c>
      <x:c r="C150" s="118" t="n">
        <x:v>0.12157040910799954</x:v>
      </x:c>
      <x:c r="D150" s="118" t="n">
        <x:v>0.5999676067182627</x:v>
      </x:c>
      <x:c r="E150" s="118" t="n">
        <x:v>0.4541062259571196</x:v>
      </x:c>
      <x:c r="F150" s="118" t="n">
        <x:v>0.16260844551373674</x:v>
      </x:c>
      <x:c r="G150" s="118" t="n">
        <x:v>0.13688111217618498</x:v>
      </x:c>
      <x:c r="H150" s="118" t="n">
        <x:v>0.02580730927799033</x:v>
      </x:c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 t="n">
        <x:v>102</x:v>
      </x:c>
      <x:c r="B151" s="118" t="n">
        <x:v>0.07138604874437741</x:v>
      </x:c>
      <x:c r="C151" s="118" t="n">
        <x:v>0.07535930008024443</x:v>
      </x:c>
      <x:c r="D151" s="118" t="n">
        <x:v>0.6891279846712028</x:v>
      </x:c>
      <x:c r="E151" s="118" t="n">
        <x:v>0.1635490531562698</x:v>
      </x:c>
      <x:c r="F151" s="118" t="n">
        <x:v>0.10212740528067554</x:v>
      </x:c>
      <x:c r="G151" s="118" t="n">
        <x:v>0.2537564212422026</x:v>
      </x:c>
      <x:c r="H151" s="118" t="n">
        <x:v>0.43440265608973183</x:v>
      </x:c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 t="n">
        <x:v>103</x:v>
      </x:c>
      <x:c r="B152" s="118" t="n">
        <x:v>0.08549355261530206</x:v>
      </x:c>
      <x:c r="C152" s="118" t="n">
        <x:v>0.08550270132795913</x:v>
      </x:c>
      <x:c r="D152" s="118" t="n">
        <x:v>0.7723698249971094</x:v>
      </x:c>
      <x:c r="E152" s="118" t="n">
        <x:v>0.06067005033603644</x:v>
      </x:c>
      <x:c r="F152" s="118" t="n">
        <x:v>0.06765639535356623</x:v>
      </x:c>
      <x:c r="G152" s="118" t="n">
        <x:v>0.13970367507947168</x:v>
      </x:c>
      <x:c r="H152" s="118" t="n">
        <x:v>0.3445319218773424</x:v>
      </x:c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 t="n">
        <x:v>104</x:v>
      </x:c>
      <x:c r="B153" s="118" t="n">
        <x:v>0.07739931784060122</x:v>
      </x:c>
      <x:c r="C153" s="118" t="n">
        <x:v>0.07364552316689292</x:v>
      </x:c>
      <x:c r="D153" s="118" t="n">
        <x:v>0.7868159420286968</x:v>
      </x:c>
      <x:c r="E153" s="118" t="n">
        <x:v>0.010344805447446077</x:v>
      </x:c>
      <x:c r="F153" s="118" t="n">
        <x:v>0.05360870933268711</x:v>
      </x:c>
      <x:c r="G153" s="118" t="n">
        <x:v>0.32329490274232703</x:v>
      </x:c>
      <x:c r="H153" s="118" t="n">
        <x:v>0.016124062983153796</x:v>
      </x:c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 t="n">
        <x:v>105</x:v>
      </x:c>
      <x:c r="B154" s="118" t="n">
        <x:v>0.07716024668763782</x:v>
      </x:c>
      <x:c r="C154" s="118" t="n">
        <x:v>0.07255557679270387</x:v>
      </x:c>
      <x:c r="D154" s="118" t="n">
        <x:v>0.7953406627675597</x:v>
      </x:c>
      <x:c r="E154" s="118" t="n">
        <x:v>0.15923225402274346</x:v>
      </x:c>
      <x:c r="F154" s="118" t="n">
        <x:v>0.06620454050731871</x:v>
      </x:c>
      <x:c r="G154" s="118" t="n">
        <x:v>0.39762040321327696</x:v>
      </x:c>
      <x:c r="H154" s="118" t="n">
        <x:v>0.020652184559789486</x:v>
      </x:c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 t="n">
        <x:v>106</x:v>
      </x:c>
      <x:c r="B155" s="118" t="n">
        <x:v>0.0930553561256448</x:v>
      </x:c>
      <x:c r="C155" s="118" t="n">
        <x:v>0.14294416552867897</x:v>
      </x:c>
      <x:c r="D155" s="118" t="n">
        <x:v>0.5148969158662998</x:v>
      </x:c>
      <x:c r="E155" s="118" t="n">
        <x:v>0.02937702207313635</x:v>
      </x:c>
      <x:c r="F155" s="118" t="n">
        <x:v>0.5081478813560205</x:v>
      </x:c>
      <x:c r="G155" s="118" t="n">
        <x:v>0.23186901424926576</x:v>
      </x:c>
      <x:c r="H155" s="118" t="n">
        <x:v>0.0813310660675689</x:v>
      </x:c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 t="n">
        <x:v>107</x:v>
      </x:c>
      <x:c r="B156" s="118" t="n">
        <x:v>0.08607541313218259</x:v>
      </x:c>
      <x:c r="C156" s="118" t="n">
        <x:v>0.08616824676264606</x:v>
      </x:c>
      <x:c r="D156" s="118" t="n">
        <x:v>0.773156812182198</x:v>
      </x:c>
      <x:c r="E156" s="118" t="n">
        <x:v>0.14535575490145666</x:v>
      </x:c>
      <x:c r="F156" s="118" t="n">
        <x:v>0.1336910616343897</x:v>
      </x:c>
      <x:c r="G156" s="118" t="n">
        <x:v>0.053370190008448365</x:v>
      </x:c>
      <x:c r="H156" s="118" t="n">
        <x:v>0.026950304726056612</x:v>
      </x:c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 t="n">
        <x:v>108</x:v>
      </x:c>
      <x:c r="B157" s="118" t="n">
        <x:v>0.08760100258522327</x:v>
      </x:c>
      <x:c r="C157" s="118" t="n">
        <x:v>0.08768360421706678</x:v>
      </x:c>
      <x:c r="D157" s="118" t="n">
        <x:v>0.7771938327566252</x:v>
      </x:c>
      <x:c r="E157" s="118" t="n">
        <x:v>0.016128270877094238</x:v>
      </x:c>
      <x:c r="F157" s="118" t="n">
        <x:v>0.03069330161877095</x:v>
      </x:c>
      <x:c r="G157" s="118" t="n">
        <x:v>0.012047415952841527</x:v>
      </x:c>
      <x:c r="H157" s="118" t="n">
        <x:v>0.40401499404744823</x:v>
      </x:c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 t="n">
        <x:v>109</x:v>
      </x:c>
      <x:c r="B158" s="118" t="n">
        <x:v>0.11311302413392615</x:v>
      </x:c>
      <x:c r="C158" s="118" t="n">
        <x:v>0.1378225867631982</x:v>
      </x:c>
      <x:c r="D158" s="118" t="n">
        <x:v>0.6795633442942254</x:v>
      </x:c>
      <x:c r="E158" s="118" t="n">
        <x:v>0.06248370571696818</x:v>
      </x:c>
      <x:c r="F158" s="118" t="n">
        <x:v>0.25370162390752066</x:v>
      </x:c>
      <x:c r="G158" s="118" t="n">
        <x:v>0.015624993575716681</x:v>
      </x:c>
      <x:c r="H158" s="118" t="n">
        <x:v>0.06803207771886893</x:v>
      </x:c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 t="n">
        <x:v>110</x:v>
      </x:c>
      <x:c r="B159" s="118" t="n">
        <x:v>0.06388194871543443</x:v>
      </x:c>
      <x:c r="C159" s="118" t="n">
        <x:v>0.06426274585056041</x:v>
      </x:c>
      <x:c r="D159" s="118" t="n">
        <x:v>0.6913508281283756</x:v>
      </x:c>
      <x:c r="E159" s="118" t="n">
        <x:v>0.0018018366253893068</x:v>
      </x:c>
      <x:c r="F159" s="118" t="n">
        <x:v>0.14510978054580223</x:v>
      </x:c>
      <x:c r="G159" s="118" t="n">
        <x:v>0.6148425525653384</x:v>
      </x:c>
      <x:c r="H159" s="118" t="n">
        <x:v>0.004373170647638167</x:v>
      </x:c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 t="n">
        <x:v>111</x:v>
      </x:c>
      <x:c r="B160" s="118" t="n">
        <x:v>0.09527752983316173</x:v>
      </x:c>
      <x:c r="C160" s="118" t="n">
        <x:v>0.10619104487353882</x:v>
      </x:c>
      <x:c r="D160" s="118" t="n">
        <x:v>0.7140308654991837</x:v>
      </x:c>
      <x:c r="E160" s="118" t="n">
        <x:v>0.13729488560926953</x:v>
      </x:c>
      <x:c r="F160" s="118" t="n">
        <x:v>0.03235627073999784</x:v>
      </x:c>
      <x:c r="G160" s="118" t="n">
        <x:v>0.18557009556550813</x:v>
      </x:c>
      <x:c r="H160" s="118" t="n">
        <x:v>0.12155528998021846</x:v>
      </x:c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 t="n">
        <x:v>112</x:v>
      </x:c>
      <x:c r="B161" s="118" t="n">
        <x:v>0.0824817739945672</x:v>
      </x:c>
      <x:c r="C161" s="118" t="n">
        <x:v>0.1102532839056829</x:v>
      </x:c>
      <x:c r="D161" s="118" t="n">
        <x:v>0.5716648575713973</x:v>
      </x:c>
      <x:c r="E161" s="118" t="n">
        <x:v>0.2418042374037632</x:v>
      </x:c>
      <x:c r="F161" s="118" t="n">
        <x:v>0.2689268641171064</x:v>
      </x:c>
      <x:c r="G161" s="118" t="n">
        <x:v>0.19754813253978037</x:v>
      </x:c>
      <x:c r="H161" s="118" t="n">
        <x:v>0.06562929346521293</x:v>
      </x:c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 t="n">
        <x:v>113</x:v>
      </x:c>
      <x:c r="B162" s="118" t="n">
        <x:v>0.07148433344602036</x:v>
      </x:c>
      <x:c r="C162" s="118" t="n">
        <x:v>0.07359740916791703</x:v>
      </x:c>
      <x:c r="D162" s="118" t="n">
        <x:v>0.7069608547423651</x:v>
      </x:c>
      <x:c r="E162" s="118" t="n">
        <x:v>0.10315441352855484</x:v>
      </x:c>
      <x:c r="F162" s="118" t="n">
        <x:v>0.17148351464990694</x:v>
      </x:c>
      <x:c r="G162" s="118" t="n">
        <x:v>0.39931128776724156</x:v>
      </x:c>
      <x:c r="H162" s="118" t="n">
        <x:v>0.19056713687730842</x:v>
      </x:c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 t="n">
        <x:v>114</x:v>
      </x:c>
      <x:c r="B163" s="118" t="n">
        <x:v>0.07448997128523788</x:v>
      </x:c>
      <x:c r="C163" s="118" t="n">
        <x:v>0.0694242001328609</x:v>
      </x:c>
      <x:c r="D163" s="118" t="n">
        <x:v>0.7927513032352707</x:v>
      </x:c>
      <x:c r="E163" s="118" t="n">
        <x:v>0.03209619819999168</x:v>
      </x:c>
      <x:c r="F163" s="118" t="n">
        <x:v>0.13741896785119412</x:v>
      </x:c>
      <x:c r="G163" s="118" t="n">
        <x:v>0.33142148937926985</x:v>
      </x:c>
      <x:c r="H163" s="118" t="n">
        <x:v>0.17351255647632774</x:v>
      </x:c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 t="n">
        <x:v>115</x:v>
      </x:c>
      <x:c r="B164" s="118" t="n">
        <x:v>0.08279704397088572</x:v>
      </x:c>
      <x:c r="C164" s="118" t="n">
        <x:v>0.12725847264180576</x:v>
      </x:c>
      <x:c r="D164" s="118" t="n">
        <x:v>0.4977523028689145</x:v>
      </x:c>
      <x:c r="E164" s="118" t="n">
        <x:v>0.009975427997477745</x:v>
      </x:c>
      <x:c r="F164" s="118" t="n">
        <x:v>0.40426675877101687</x:v>
      </x:c>
      <x:c r="G164" s="118" t="n">
        <x:v>0.009108775193451575</x:v>
      </x:c>
      <x:c r="H164" s="118" t="n">
        <x:v>0.11416792596354426</x:v>
      </x:c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 t="n">
        <x:v>116</x:v>
      </x:c>
      <x:c r="B165" s="118" t="n">
        <x:v>0.0938533117774438</x:v>
      </x:c>
      <x:c r="C165" s="118" t="n">
        <x:v>0.1100353503477597</x:v>
      </x:c>
      <x:c r="D165" s="118" t="n">
        <x:v>0.6761414889711613</x:v>
      </x:c>
      <x:c r="E165" s="118" t="n">
        <x:v>0.19485981453189755</x:v>
      </x:c>
      <x:c r="F165" s="118" t="n">
        <x:v>0.23454074725566038</x:v>
      </x:c>
      <x:c r="G165" s="118" t="n">
        <x:v>0.11612239573092735</x:v>
      </x:c>
      <x:c r="H165" s="118" t="n">
        <x:v>0.07735479808318933</x:v>
      </x:c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 t="n">
        <x:v>117</x:v>
      </x:c>
      <x:c r="B166" s="118" t="n">
        <x:v>0.07315970583404328</x:v>
      </x:c>
      <x:c r="C166" s="118" t="n">
        <x:v>0.08207886561587142</x:v>
      </x:c>
      <x:c r="D166" s="118" t="n">
        <x:v>0.6543201989601101</x:v>
      </x:c>
      <x:c r="E166" s="118" t="n">
        <x:v>0.39673923864977545</x:v>
      </x:c>
      <x:c r="F166" s="118" t="n">
        <x:v>0.004384143582908534</x:v>
      </x:c>
      <x:c r="G166" s="118" t="n">
        <x:v>0.1506041281910985</x:v>
      </x:c>
      <x:c r="H166" s="118" t="n">
        <x:v>0.2120741131608746</x:v>
      </x:c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 t="n">
        <x:v>118</x:v>
      </x:c>
      <x:c r="B167" s="118" t="n">
        <x:v>0.0781735334422529</x:v>
      </x:c>
      <x:c r="C167" s="118" t="n">
        <x:v>0.08085204387444608</x:v>
      </x:c>
      <x:c r="D167" s="118" t="n">
        <x:v>0.7262610130127528</x:v>
      </x:c>
      <x:c r="E167" s="118" t="n">
        <x:v>0.27108292612996876</x:v>
      </x:c>
      <x:c r="F167" s="118" t="n">
        <x:v>0.0857425311440025</x:v>
      </x:c>
      <x:c r="G167" s="118" t="n">
        <x:v>0.2708946013678213</x:v>
      </x:c>
      <x:c r="H167" s="118" t="n">
        <x:v>0.1942594340854659</x:v>
      </x:c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 t="n">
        <x:v>119</x:v>
      </x:c>
      <x:c r="B168" s="118" t="n">
        <x:v>0.10122217636182888</x:v>
      </x:c>
      <x:c r="C168" s="118" t="n">
        <x:v>0.12073848778920535</x:v>
      </x:c>
      <x:c r="D168" s="118" t="n">
        <x:v>0.6772350035619151</x:v>
      </x:c>
      <x:c r="E168" s="118" t="n">
        <x:v>0.31890424293238406</x:v>
      </x:c>
      <x:c r="F168" s="118" t="n">
        <x:v>0.15836894518418995</x:v>
      </x:c>
      <x:c r="G168" s="118" t="n">
        <x:v>0.026087240929348273</x:v>
      </x:c>
      <x:c r="H168" s="118" t="n">
        <x:v>0.08773416128224179</x:v>
      </x:c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 t="n">
        <x:v>120</x:v>
      </x:c>
      <x:c r="B169" s="118" t="n">
        <x:v>0.10747466147063313</x:v>
      </x:c>
      <x:c r="C169" s="118" t="n">
        <x:v>0.15894325300417717</x:v>
      </x:c>
      <x:c r="D169" s="118" t="n">
        <x:v>0.5537876798990248</x:v>
      </x:c>
      <x:c r="E169" s="118" t="n">
        <x:v>0.022120155991470027</x:v>
      </x:c>
      <x:c r="F169" s="118" t="n">
        <x:v>0.521564046876747</x:v>
      </x:c>
      <x:c r="G169" s="118" t="n">
        <x:v>0.044880348862061915</x:v>
      </x:c>
      <x:c r="H169" s="118" t="n">
        <x:v>0.033477380445164115</x:v>
      </x:c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 t="n">
        <x:v>121</x:v>
      </x:c>
      <x:c r="B170" s="118" t="n">
        <x:v>0.10022700711535373</x:v>
      </x:c>
      <x:c r="C170" s="118" t="n">
        <x:v>0.17854684134596385</x:v>
      </x:c>
      <x:c r="D170" s="118" t="n">
        <x:v>0.4523919905421138</x:v>
      </x:c>
      <x:c r="E170" s="118" t="n">
        <x:v>0.4789298463597261</x:v>
      </x:c>
      <x:c r="F170" s="118" t="n">
        <x:v>0.3965867508332042</x:v>
      </x:c>
      <x:c r="G170" s="118" t="n">
        <x:v>0.03441562874736127</x:v>
      </x:c>
      <x:c r="H170" s="118" t="n">
        <x:v>0.06784563753523473</x:v>
      </x:c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 t="n">
        <x:v>122</x:v>
      </x:c>
      <x:c r="B171" s="118" t="n">
        <x:v>0.0598334469914817</x:v>
      </x:c>
      <x:c r="C171" s="118" t="n">
        <x:v>0.04818505324858115</x:v>
      </x:c>
      <x:c r="D171" s="118" t="n">
        <x:v>0.8380109207168835</x:v>
      </x:c>
      <x:c r="E171" s="118" t="n">
        <x:v>0.10028616374682892</x:v>
      </x:c>
      <x:c r="F171" s="118" t="n">
        <x:v>0.02460409893258595</x:v>
      </x:c>
      <x:c r="G171" s="118" t="n">
        <x:v>0.43257071504281996</x:v>
      </x:c>
      <x:c r="H171" s="118" t="n">
        <x:v>0.09210678927311107</x:v>
      </x:c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 t="n">
        <x:v>123</x:v>
      </x:c>
      <x:c r="B172" s="118" t="n">
        <x:v>0.07411364521862689</x:v>
      </x:c>
      <x:c r="C172" s="118" t="n">
        <x:v>0.07550117176116498</x:v>
      </x:c>
      <x:c r="D172" s="118" t="n">
        <x:v>0.7239596126757826</x:v>
      </x:c>
      <x:c r="E172" s="118" t="n">
        <x:v>0.03632718122022265</x:v>
      </x:c>
      <x:c r="F172" s="118" t="n">
        <x:v>0.14552548570987023</x:v>
      </x:c>
      <x:c r="G172" s="118" t="n">
        <x:v>0.07387873049741941</x:v>
      </x:c>
      <x:c r="H172" s="118" t="n">
        <x:v>0.47152338496565477</x:v>
      </x:c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 t="n">
        <x:v>124</x:v>
      </x:c>
      <x:c r="B173" s="118" t="n">
        <x:v>0.05746564491796255</x:v>
      </x:c>
      <x:c r="C173" s="118" t="n">
        <x:v>0.04811092080098835</x:v>
      </x:c>
      <x:c r="D173" s="118" t="n">
        <x:v>0.7900867023799618</x:v>
      </x:c>
      <x:c r="E173" s="118" t="n">
        <x:v>0.009552520453642133</x:v>
      </x:c>
      <x:c r="F173" s="118" t="n">
        <x:v>0.05035128351628575</x:v>
      </x:c>
      <x:c r="G173" s="118" t="n">
        <x:v>0.17227359395563568</x:v>
      </x:c>
      <x:c r="H173" s="118" t="n">
        <x:v>0.07249350049393839</x:v>
      </x:c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 t="n">
        <x:v>125</x:v>
      </x:c>
      <x:c r="B174" s="118" t="n">
        <x:v>0.09334671979974965</x:v>
      </x:c>
      <x:c r="C174" s="118" t="n">
        <x:v>0.13614557436489835</x:v>
      </x:c>
      <x:c r="D174" s="118" t="n">
        <x:v>0.5427489948946507</x:v>
      </x:c>
      <x:c r="E174" s="118" t="n">
        <x:v>0.07465241163016051</x:v>
      </x:c>
      <x:c r="F174" s="118" t="n">
        <x:v>0.39416763626209195</x:v>
      </x:c>
      <x:c r="G174" s="118" t="n">
        <x:v>0.011658064601998362</x:v>
      </x:c>
      <x:c r="H174" s="118" t="n">
        <x:v>0.3917256102982362</x:v>
      </x:c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 t="n">
        <x:v>126</x:v>
      </x:c>
      <x:c r="B175" s="118" t="n">
        <x:v>0.07532823986135095</x:v>
      </x:c>
      <x:c r="C175" s="118" t="n">
        <x:v>0.07353920930082593</x:v>
      </x:c>
      <x:c r="D175" s="118" t="n">
        <x:v>0.7597905150018694</x:v>
      </x:c>
      <x:c r="E175" s="118" t="n">
        <x:v>0.2761315261784719</x:v>
      </x:c>
      <x:c r="F175" s="118" t="n">
        <x:v>0.05802949344320797</x:v>
      </x:c>
      <x:c r="G175" s="118" t="n">
        <x:v>0.2875789647117684</x:v>
      </x:c>
      <x:c r="H175" s="118" t="n">
        <x:v>0.1195827166511271</x:v>
      </x:c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 t="n">
        <x:v>127</x:v>
      </x:c>
      <x:c r="B176" s="118" t="n">
        <x:v>0.093651774663596</x:v>
      </x:c>
      <x:c r="C176" s="118" t="n">
        <x:v>0.14332285023882263</x:v>
      </x:c>
      <x:c r="D176" s="118" t="n">
        <x:v>0.5176978296629734</x:v>
      </x:c>
      <x:c r="E176" s="118" t="n">
        <x:v>0.2597096423506341</x:v>
      </x:c>
      <x:c r="F176" s="118" t="n">
        <x:v>0.36817638500308447</x:v>
      </x:c>
      <x:c r="G176" s="118" t="n">
        <x:v>0.05671413107238268</x:v>
      </x:c>
      <x:c r="H176" s="118" t="n">
        <x:v>0.11187191408820542</x:v>
      </x:c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 t="n">
        <x:v>128</x:v>
      </x:c>
      <x:c r="B177" s="118" t="n">
        <x:v>0.08295017793099281</x:v>
      </x:c>
      <x:c r="C177" s="118" t="n">
        <x:v>0.08479898460409951</x:v>
      </x:c>
      <x:c r="D177" s="118" t="n">
        <x:v>0.7487864633473099</x:v>
      </x:c>
      <x:c r="E177" s="118" t="n">
        <x:v>0.01189581436317395</x:v>
      </x:c>
      <x:c r="F177" s="118" t="n">
        <x:v>0.19625040158934437</x:v>
      </x:c>
      <x:c r="G177" s="118" t="n">
        <x:v>0.015024872646017354</x:v>
      </x:c>
      <x:c r="H177" s="118" t="n">
        <x:v>0.0974842483781179</x:v>
      </x:c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 t="n">
        <x:v>129</x:v>
      </x:c>
      <x:c r="B178" s="118" t="n">
        <x:v>0.08608517418058265</x:v>
      </x:c>
      <x:c r="C178" s="118" t="n">
        <x:v>0.08695500409172986</x:v>
      </x:c>
      <x:c r="D178" s="118" t="n">
        <x:v>0.7662736460393506</x:v>
      </x:c>
      <x:c r="E178" s="118" t="n">
        <x:v>0.2565545408420245</x:v>
      </x:c>
      <x:c r="F178" s="118" t="n">
        <x:v>0.05750414054392658</x:v>
      </x:c>
      <x:c r="G178" s="118" t="n">
        <x:v>0.2117928739328394</x:v>
      </x:c>
      <x:c r="H178" s="118" t="n">
        <x:v>0.11562380552901827</x:v>
      </x:c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 t="n">
        <x:v>130</x:v>
      </x:c>
      <x:c r="B179" s="118" t="n">
        <x:v>0.07216773694470731</x:v>
      </x:c>
      <x:c r="C179" s="118" t="n">
        <x:v>0.06813852409109546</x:v>
      </x:c>
      <x:c r="D179" s="118" t="n">
        <x:v>0.773628303430628</x:v>
      </x:c>
      <x:c r="E179" s="118" t="n">
        <x:v>0.09249768280557026</x:v>
      </x:c>
      <x:c r="F179" s="118" t="n">
        <x:v>0.06865936122508934</x:v>
      </x:c>
      <x:c r="G179" s="118" t="n">
        <x:v>0.31742882696215224</x:v>
      </x:c>
      <x:c r="H179" s="118" t="n">
        <x:v>0.33217462981419593</x:v>
      </x:c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 t="n">
        <x:v>131</x:v>
      </x:c>
      <x:c r="B180" s="118" t="n">
        <x:v>0.09279479220849768</x:v>
      </x:c>
      <x:c r="C180" s="118" t="n">
        <x:v>0.10760296715800745</x:v>
      </x:c>
      <x:c r="D180" s="118" t="n">
        <x:v>0.6815885099799847</x:v>
      </x:c>
      <x:c r="E180" s="118" t="n">
        <x:v>0.05387504783050642</x:v>
      </x:c>
      <x:c r="F180" s="118" t="n">
        <x:v>0.015332258024002893</x:v>
      </x:c>
      <x:c r="G180" s="118" t="n">
        <x:v>0.23295218865382633</x:v>
      </x:c>
      <x:c r="H180" s="118" t="n">
        <x:v>0.06362062765905627</x:v>
      </x:c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 t="n">
        <x:v>132</x:v>
      </x:c>
      <x:c r="B181" s="118" t="n">
        <x:v>0.08915682750442269</x:v>
      </x:c>
      <x:c r="C181" s="118" t="n">
        <x:v>0.09216379625829932</x:v>
      </x:c>
      <x:c r="D181" s="118" t="n">
        <x:v>0.7562945991854129</x:v>
      </x:c>
      <x:c r="E181" s="118" t="n">
        <x:v>0.14375498510644671</x:v>
      </x:c>
      <x:c r="F181" s="118" t="n">
        <x:v>0.08290647037225225</x:v>
      </x:c>
      <x:c r="G181" s="118" t="n">
        <x:v>0.08508758066360805</x:v>
      </x:c>
      <x:c r="H181" s="118" t="n">
        <x:v>0.3643236479236915</x:v>
      </x:c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 t="n">
        <x:v>133</x:v>
      </x:c>
      <x:c r="B182" s="118" t="n">
        <x:v>0.08605414980494278</x:v>
      </x:c>
      <x:c r="C182" s="118" t="n">
        <x:v>0.10231127671196735</x:v>
      </x:c>
      <x:c r="D182" s="118" t="n">
        <x:v>0.6509576049822314</x:v>
      </x:c>
      <x:c r="E182" s="118" t="n">
        <x:v>0.07266881586796352</x:v>
      </x:c>
      <x:c r="F182" s="118" t="n">
        <x:v>0.23310233471096864</x:v>
      </x:c>
      <x:c r="G182" s="118" t="n">
        <x:v>0.009475535737461087</x:v>
      </x:c>
      <x:c r="H182" s="118" t="n">
        <x:v>0.4578984827408688</x:v>
      </x:c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 t="n">
        <x:v>134</x:v>
      </x:c>
      <x:c r="B183" s="118" t="n">
        <x:v>0.0753541301739174</x:v>
      </x:c>
      <x:c r="C183" s="118" t="n">
        <x:v>0.06741890860664833</x:v>
      </x:c>
      <x:c r="D183" s="118" t="n">
        <x:v>0.8291484566476472</x:v>
      </x:c>
      <x:c r="E183" s="118" t="n">
        <x:v>0.08024515960182108</x:v>
      </x:c>
      <x:c r="F183" s="118" t="n">
        <x:v>0.07423137999794033</x:v>
      </x:c>
      <x:c r="G183" s="118" t="n">
        <x:v>0.09238204024331854</x:v>
      </x:c>
      <x:c r="H183" s="118" t="n">
        <x:v>0.3750610403716317</x:v>
      </x:c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 t="n">
        <x:v>135</x:v>
      </x:c>
      <x:c r="B184" s="118" t="n">
        <x:v>0.09751017101067044</x:v>
      </x:c>
      <x:c r="C184" s="118" t="n">
        <x:v>0.11019729221026764</x:v>
      </x:c>
      <x:c r="D184" s="118" t="n">
        <x:v>0.7083325124530726</x:v>
      </x:c>
      <x:c r="E184" s="118" t="n">
        <x:v>0.21354887584923526</x:v>
      </x:c>
      <x:c r="F184" s="118" t="n">
        <x:v>0.17199710221932366</x:v>
      </x:c>
      <x:c r="G184" s="118" t="n">
        <x:v>0.011024263022799737</x:v>
      </x:c>
      <x:c r="H184" s="118" t="n">
        <x:v>0.09134377148494924</x:v>
      </x:c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 t="n">
        <x:v>136</x:v>
      </x:c>
      <x:c r="B185" s="118" t="n">
        <x:v>0.07101288573621255</x:v>
      </x:c>
      <x:c r="C185" s="118" t="n">
        <x:v>0.06433124879013899</x:v>
      </x:c>
      <x:c r="D185" s="118" t="n">
        <x:v>0.801461817577364</x:v>
      </x:c>
      <x:c r="E185" s="118" t="n">
        <x:v>0.015693378483531324</x:v>
      </x:c>
      <x:c r="F185" s="118" t="n">
        <x:v>0.13760926140786373</x:v>
      </x:c>
      <x:c r="G185" s="118" t="n">
        <x:v>0.34393167984561035</x:v>
      </x:c>
      <x:c r="H185" s="118" t="n">
        <x:v>0.16427959210794815</x:v>
      </x:c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 t="n">
        <x:v>137</x:v>
      </x:c>
      <x:c r="B186" s="118" t="n">
        <x:v>0.06867962245500688</x:v>
      </x:c>
      <x:c r="C186" s="118" t="n">
        <x:v>0.06580420816399148</x:v>
      </x:c>
      <x:c r="D186" s="118" t="n">
        <x:v>0.7480642602443381</x:v>
      </x:c>
      <x:c r="E186" s="118" t="n">
        <x:v>0.10901666199943838</x:v>
      </x:c>
      <x:c r="F186" s="118" t="n">
        <x:v>0.0925059364166994</x:v>
      </x:c>
      <x:c r="G186" s="118" t="n">
        <x:v>0.2592656509387364</x:v>
      </x:c>
      <x:c r="H186" s="118" t="n">
        <x:v>0.3781334882763247</x:v>
      </x:c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 t="n">
        <x:v>138</x:v>
      </x:c>
      <x:c r="B187" s="118" t="n">
        <x:v>0.07733034350781616</x:v>
      </x:c>
      <x:c r="C187" s="118" t="n">
        <x:v>0.09366476750704324</x:v>
      </x:c>
      <x:c r="D187" s="118" t="n">
        <x:v>0.6179110768584133</x:v>
      </x:c>
      <x:c r="E187" s="118" t="n">
        <x:v>0.3530855884015131</x:v>
      </x:c>
      <x:c r="F187" s="118" t="n">
        <x:v>0.10575084981026647</x:v>
      </x:c>
      <x:c r="G187" s="118" t="n">
        <x:v>0.13767681144929697</x:v>
      </x:c>
      <x:c r="H187" s="118" t="n">
        <x:v>0.1324871827468825</x:v>
      </x:c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 t="n">
        <x:v>139</x:v>
      </x:c>
      <x:c r="B188" s="118" t="n">
        <x:v>0.09451051499796002</x:v>
      </x:c>
      <x:c r="C188" s="118" t="n">
        <x:v>0.1187966933904342</x:v>
      </x:c>
      <x:c r="D188" s="118" t="n">
        <x:v>0.631807727151416</x:v>
      </x:c>
      <x:c r="E188" s="118" t="n">
        <x:v>0.13392176168478542</x:v>
      </x:c>
      <x:c r="F188" s="118" t="n">
        <x:v>0.2910512789794508</x:v>
      </x:c>
      <x:c r="G188" s="118" t="n">
        <x:v>0.08673419294875682</x:v>
      </x:c>
      <x:c r="H188" s="118" t="n">
        <x:v>0.28568684133830574</x:v>
      </x:c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 t="n">
        <x:v>140</x:v>
      </x:c>
      <x:c r="B189" s="118" t="n">
        <x:v>0.07356046042655337</x:v>
      </x:c>
      <x:c r="C189" s="118" t="n">
        <x:v>0.08562784206004322</x:v>
      </x:c>
      <x:c r="D189" s="118" t="n">
        <x:v>0.6318810911381726</x:v>
      </x:c>
      <x:c r="E189" s="118" t="n">
        <x:v>0.26808557931942045</x:v>
      </x:c>
      <x:c r="F189" s="118" t="n">
        <x:v>0.18286051235974846</x:v>
      </x:c>
      <x:c r="G189" s="118" t="n">
        <x:v>0.41730941915619535</x:v>
      </x:c>
      <x:c r="H189" s="118" t="n">
        <x:v>0.006385115648892283</x:v>
      </x:c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 t="n">
        <x:v>141</x:v>
      </x:c>
      <x:c r="B190" s="118" t="n">
        <x:v>0.08682673358268322</x:v>
      </x:c>
      <x:c r="C190" s="118" t="n">
        <x:v>0.12045372497564104</x:v>
      </x:c>
      <x:c r="D190" s="118" t="n">
        <x:v>0.5593258941760553</x:v>
      </x:c>
      <x:c r="E190" s="118" t="n">
        <x:v>0.4259145575762022</x:v>
      </x:c>
      <x:c r="F190" s="118" t="n">
        <x:v>0.1746890352385556</x:v>
      </x:c>
      <x:c r="G190" s="118" t="n">
        <x:v>0.09939491084486565</x:v>
      </x:c>
      <x:c r="H190" s="118" t="n">
        <x:v>0.1479925140945879</x:v>
      </x:c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 t="n">
        <x:v>142</x:v>
      </x:c>
      <x:c r="B191" s="118" t="n">
        <x:v>0.0876803895780541</x:v>
      </x:c>
      <x:c r="C191" s="118" t="n">
        <x:v>0.13376925071168264</x:v>
      </x:c>
      <x:c r="D191" s="118" t="n">
        <x:v>0.510031588434766</x:v>
      </x:c>
      <x:c r="E191" s="118" t="n">
        <x:v>0.18989816519906447</x:v>
      </x:c>
      <x:c r="F191" s="118" t="n">
        <x:v>0.35322614762608423</x:v>
      </x:c>
      <x:c r="G191" s="118" t="n">
        <x:v>0.025940515995513613</x:v>
      </x:c>
      <x:c r="H191" s="118" t="n">
        <x:v>0.19291243585723886</x:v>
      </x:c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 t="n">
        <x:v>143</x:v>
      </x:c>
      <x:c r="B192" s="118" t="n">
        <x:v>0.1126642144603886</x:v>
      </x:c>
      <x:c r="C192" s="118" t="n">
        <x:v>0.1465055675424385</x:v>
      </x:c>
      <x:c r="D192" s="118" t="n">
        <x:v>0.6362240689558918</x:v>
      </x:c>
      <x:c r="E192" s="118" t="n">
        <x:v>0.028994561372905504</x:v>
      </x:c>
      <x:c r="F192" s="118" t="n">
        <x:v>0.3919859826374886</x:v>
      </x:c>
      <x:c r="G192" s="118" t="n">
        <x:v>0.03952068580858538</x:v>
      </x:c>
      <x:c r="H192" s="118" t="n">
        <x:v>0.06252189299707182</x:v>
      </x:c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 t="n">
        <x:v>144</x:v>
      </x:c>
      <x:c r="B193" s="118" t="n">
        <x:v>0.08415293037914644</x:v>
      </x:c>
      <x:c r="C193" s="118" t="n">
        <x:v>0.08349913870332881</x:v>
      </x:c>
      <x:c r="D193" s="118" t="n">
        <x:v>0.7748473245355878</x:v>
      </x:c>
      <x:c r="E193" s="118" t="n">
        <x:v>0.23277951250042328</x:v>
      </x:c>
      <x:c r="F193" s="118" t="n">
        <x:v>0.06041568207162511</x:v>
      </x:c>
      <x:c r="G193" s="118" t="n">
        <x:v>0.1426244318264894</x:v>
      </x:c>
      <x:c r="H193" s="118" t="n">
        <x:v>0.21357402713281362</x:v>
      </x:c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 t="n">
        <x:v>145</x:v>
      </x:c>
      <x:c r="B194" s="118" t="n">
        <x:v>0.08257564865416456</x:v>
      </x:c>
      <x:c r="C194" s="118" t="n">
        <x:v>0.09738073542596921</x:v>
      </x:c>
      <x:c r="D194" s="118" t="n">
        <x:v>0.6481959930186075</x:v>
      </x:c>
      <x:c r="E194" s="118" t="n">
        <x:v>0.007383715621814677</x:v>
      </x:c>
      <x:c r="F194" s="118" t="n">
        <x:v>0.3226894179006667</x:v>
      </x:c>
      <x:c r="G194" s="118" t="n">
        <x:v>0.2768943651971875</x:v>
      </x:c>
      <x:c r="H194" s="118" t="n">
        <x:v>0.050565526952151635</x:v>
      </x:c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 t="n">
        <x:v>146</x:v>
      </x:c>
      <x:c r="B195" s="118" t="n">
        <x:v>0.0904907974934129</x:v>
      </x:c>
      <x:c r="C195" s="118" t="n">
        <x:v>0.12385476126833425</x:v>
      </x:c>
      <x:c r="D195" s="118" t="n">
        <x:v>0.5735504280345228</x:v>
      </x:c>
      <x:c r="E195" s="118" t="n">
        <x:v>0.2624098335499532</x:v>
      </x:c>
      <x:c r="F195" s="118" t="n">
        <x:v>0.2868105005171392</x:v>
      </x:c>
      <x:c r="G195" s="118" t="n">
        <x:v>0.08324921928317726</x:v>
      </x:c>
      <x:c r="H195" s="118" t="n">
        <x:v>0.07520805952748669</x:v>
      </x:c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 t="n">
        <x:v>147</x:v>
      </x:c>
      <x:c r="B196" s="118" t="n">
        <x:v>0.07851188758539765</x:v>
      </x:c>
      <x:c r="C196" s="118" t="n">
        <x:v>0.07522982227216383</x:v>
      </x:c>
      <x:c r="D196" s="118" t="n">
        <x:v>0.7850349721403483</x:v>
      </x:c>
      <x:c r="E196" s="118" t="n">
        <x:v>0.07790303252819565</x:v>
      </x:c>
      <x:c r="F196" s="118" t="n">
        <x:v>0.11605367533877543</x:v>
      </x:c>
      <x:c r="G196" s="118" t="n">
        <x:v>0.2900267352461793</x:v>
      </x:c>
      <x:c r="H196" s="118" t="n">
        <x:v>0.2154182169121081</x:v>
      </x:c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 t="n">
        <x:v>148</x:v>
      </x:c>
      <x:c r="B197" s="118" t="n">
        <x:v>0.09683122838856012</x:v>
      </x:c>
      <x:c r="C197" s="118" t="n">
        <x:v>0.1089650267761491</x:v>
      </x:c>
      <x:c r="D197" s="118" t="n">
        <x:v>0.710112083886082</x:v>
      </x:c>
      <x:c r="E197" s="118" t="n">
        <x:v>0.18883878276348173</x:v>
      </x:c>
      <x:c r="F197" s="118" t="n">
        <x:v>0.038930706320589106</x:v>
      </x:c>
      <x:c r="G197" s="118" t="n">
        <x:v>0.21900738209158505</x:v>
      </x:c>
      <x:c r="H197" s="118" t="n">
        <x:v>0.0489565642606675</x:v>
      </x:c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 t="n">
        <x:v>149</x:v>
      </x:c>
      <x:c r="B198" s="118" t="n">
        <x:v>0.06408997311862895</x:v>
      </x:c>
      <x:c r="C198" s="118" t="n">
        <x:v>0.05943626628670164</x:v>
      </x:c>
      <x:c r="D198" s="118" t="n">
        <x:v>0.7509914359268853</x:v>
      </x:c>
      <x:c r="E198" s="118" t="n">
        <x:v>0.06236760404133492</x:v>
      </x:c>
      <x:c r="F198" s="118" t="n">
        <x:v>0.06388261753073006</x:v>
      </x:c>
      <x:c r="G198" s="118" t="n">
        <x:v>0.5514208300337196</x:v>
      </x:c>
      <x:c r="H198" s="118" t="n">
        <x:v>0.010800838039995552</x:v>
      </x:c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 t="n">
        <x:v>150</x:v>
      </x:c>
      <x:c r="B199" s="118" t="n">
        <x:v>0.09704970114931438</x:v>
      </x:c>
      <x:c r="C199" s="118" t="n">
        <x:v>0.15940991658669748</x:v>
      </x:c>
      <x:c r="D199" s="118" t="n">
        <x:v>0.4867693093187622</x:v>
      </x:c>
      <x:c r="E199" s="118" t="n">
        <x:v>0.15278808341357103</x:v>
      </x:c>
      <x:c r="F199" s="118" t="n">
        <x:v>0.4682559183630996</x:v>
      </x:c>
      <x:c r="G199" s="118" t="n">
        <x:v>0.01008309686654057</x:v>
      </x:c>
      <x:c r="H199" s="118" t="n">
        <x:v>0.29170306773805166</x:v>
      </x:c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 t="n">
        <x:v>151</x:v>
      </x:c>
      <x:c r="B200" s="118" t="n">
        <x:v>0.08483359586711993</x:v>
      </x:c>
      <x:c r="C200" s="118" t="n">
        <x:v>0.08377140608686717</x:v>
      </x:c>
      <x:c r="D200" s="118" t="n">
        <x:v>0.7804542476639096</x:v>
      </x:c>
      <x:c r="E200" s="118" t="n">
        <x:v>0.2601380170677508</x:v>
      </x:c>
      <x:c r="F200" s="118" t="n">
        <x:v>0.045849989871159805</x:v>
      </x:c>
      <x:c r="G200" s="118" t="n">
        <x:v>0.09468450219327597</x:v>
      </x:c>
      <x:c r="H200" s="118" t="n">
        <x:v>0.13449059476466488</x:v>
      </x:c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t="n">
        <x:v>152</x:v>
      </x:c>
      <x:c r="B201" s="40" t="n">
        <x:v>0.07882328931932868</x:v>
      </x:c>
      <x:c r="C201" s="40" t="n">
        <x:v>0.07620018905526901</x:v>
      </x:c>
      <x:c r="D201" s="40" t="n">
        <x:v>0.7791246176885608</x:v>
      </x:c>
      <x:c r="E201" s="40" t="n">
        <x:v>0.15945523456628274</x:v>
      </x:c>
      <x:c r="F201" s="40" t="n">
        <x:v>0.1154241971365539</x:v>
      </x:c>
      <x:c r="G201" s="40" t="n">
        <x:v>0.40534331568004084</x:v>
      </x:c>
      <x:c r="H201" s="40" t="n">
        <x:v>0.0013974502470512882</x:v>
      </x:c>
    </x:row>
    <x:row r="202">
      <x:c r="A202" t="n">
        <x:v>153</x:v>
      </x:c>
      <x:c r="B202" s="40" t="n">
        <x:v>0.09619103278258853</x:v>
      </x:c>
      <x:c r="C202" s="40" t="n">
        <x:v>0.15444964295269537</x:v>
      </x:c>
      <x:c r="D202" s="40" t="n">
        <x:v>0.49684275833674374</x:v>
      </x:c>
      <x:c r="E202" s="40" t="n">
        <x:v>0.12855818708129696</x:v>
      </x:c>
      <x:c r="F202" s="40" t="n">
        <x:v>0.4757559296209037</x:v>
      </x:c>
      <x:c r="G202" s="40" t="n">
        <x:v>0.04787359772078675</x:v>
      </x:c>
      <x:c r="H202" s="40" t="n">
        <x:v>0.14812684511541302</x:v>
      </x:c>
    </x:row>
    <x:row r="203">
      <x:c r="A203" t="n">
        <x:v>154</x:v>
      </x:c>
      <x:c r="B203" s="40" t="n">
        <x:v>0.07379438393474247</x:v>
      </x:c>
      <x:c r="C203" s="40" t="n">
        <x:v>0.06726429803136161</x:v>
      </x:c>
      <x:c r="D203" s="40" t="n">
        <x:v>0.8078659760272877</x:v>
      </x:c>
      <x:c r="E203" s="40" t="n">
        <x:v>0.12681580474371554</x:v>
      </x:c>
      <x:c r="F203" s="40" t="n">
        <x:v>0.10637887355563981</x:v>
      </x:c>
      <x:c r="G203" s="40" t="n">
        <x:v>0.333960829543726</x:v>
      </x:c>
      <x:c r="H203" s="40" t="n">
        <x:v>0.11997971392066303</x:v>
      </x:c>
    </x:row>
    <x:row r="204">
      <x:c r="A204" t="n">
        <x:v>155</x:v>
      </x:c>
      <x:c r="B204" s="40" t="n">
        <x:v>0.05997214990131587</x:v>
      </x:c>
      <x:c r="C204" s="40" t="n">
        <x:v>0.05643269944598813</x:v>
      </x:c>
      <x:c r="D204" s="40" t="n">
        <x:v>0.7179933645784548</x:v>
      </x:c>
      <x:c r="E204" s="40" t="n">
        <x:v>0.16521107595012322</x:v>
      </x:c>
      <x:c r="F204" s="40" t="n">
        <x:v>0.07697155587114325</x:v>
      </x:c>
      <x:c r="G204" s="40" t="n">
        <x:v>0.5125302258822505</x:v>
      </x:c>
      <x:c r="H204" s="40" t="n">
        <x:v>0.07487544332805646</x:v>
      </x:c>
    </x:row>
    <x:row r="205">
      <x:c r="A205" t="n">
        <x:v>156</x:v>
      </x:c>
      <x:c r="B205" s="40" t="n">
        <x:v>0.08157305014077326</x:v>
      </x:c>
      <x:c r="C205" s="40" t="n">
        <x:v>0.0842466611041536</x:v>
      </x:c>
      <x:c r="D205" s="40" t="n">
        <x:v>0.7373491503732064</x:v>
      </x:c>
      <x:c r="E205" s="40" t="n">
        <x:v>0.08087312155423926</x:v>
      </x:c>
      <x:c r="F205" s="40" t="n">
        <x:v>0.16777385494625657</x:v>
      </x:c>
      <x:c r="G205" s="40" t="n">
        <x:v>0.11438724911873638</x:v>
      </x:c>
      <x:c r="H205" s="40" t="n">
        <x:v>0.32873604379249916</x:v>
      </x:c>
    </x:row>
    <x:row r="206">
      <x:c r="A206" t="n">
        <x:v>157</x:v>
      </x:c>
      <x:c r="B206" s="40" t="n">
        <x:v>0.08489998755220685</x:v>
      </x:c>
      <x:c r="C206" s="40" t="n">
        <x:v>0.12286927630524194</x:v>
      </x:c>
      <x:c r="D206" s="40" t="n">
        <x:v>0.5326485462140593</x:v>
      </x:c>
      <x:c r="E206" s="40" t="n">
        <x:v>0.5124180258142809</x:v>
      </x:c>
      <x:c r="F206" s="40" t="n">
        <x:v>0.12119456459250241</x:v>
      </x:c>
      <x:c r="G206" s="40" t="n">
        <x:v>0.06265653202123941</x:v>
      </x:c>
      <x:c r="H206" s="40" t="n">
        <x:v>0.11035748291455763</x:v>
      </x:c>
    </x:row>
    <x:row r="207">
      <x:c r="A207" t="n">
        <x:v>158</x:v>
      </x:c>
      <x:c r="B207" s="40" t="n">
        <x:v>0.09722767312085763</x:v>
      </x:c>
      <x:c r="C207" s="40" t="n">
        <x:v>0.16189258943240736</x:v>
      </x:c>
      <x:c r="D207" s="40" t="n">
        <x:v>0.48040387296098713</x:v>
      </x:c>
      <x:c r="E207" s="40" t="n">
        <x:v>0.07082076048114493</x:v>
      </x:c>
      <x:c r="F207" s="40" t="n">
        <x:v>0.5345829300740562</x:v>
      </x:c>
      <x:c r="G207" s="40" t="n">
        <x:v>0.07866534572546117</x:v>
      </x:c>
      <x:c r="H207" s="40" t="n">
        <x:v>0.2171081123210673</x:v>
      </x:c>
    </x:row>
    <x:row r="208">
      <x:c r="A208" t="n">
        <x:v>159</x:v>
      </x:c>
      <x:c r="B208" s="40" t="n">
        <x:v>0.06211437898589556</x:v>
      </x:c>
      <x:c r="C208" s="40" t="n">
        <x:v>0.07016829041156794</x:v>
      </x:c>
      <x:c r="D208" s="40" t="n">
        <x:v>0.6079745221356624</x:v>
      </x:c>
      <x:c r="E208" s="40" t="n">
        <x:v>0.0454866770254333</x:v>
      </x:c>
      <x:c r="F208" s="40" t="n">
        <x:v>0.16109257430844462</x:v>
      </x:c>
      <x:c r="G208" s="40" t="n">
        <x:v>0.1695981127696187</x:v>
      </x:c>
      <x:c r="H208" s="40" t="n">
        <x:v>0.005087688038716831</x:v>
      </x:c>
    </x:row>
    <x:row r="209">
      <x:c r="A209" t="n">
        <x:v>160</x:v>
      </x:c>
      <x:c r="B209" s="40" t="n">
        <x:v>0.07488542217534158</x:v>
      </x:c>
      <x:c r="C209" s="40" t="n">
        <x:v>0.08195564507325871</x:v>
      </x:c>
      <x:c r="D209" s="40" t="n">
        <x:v>0.6763606823171987</x:v>
      </x:c>
      <x:c r="E209" s="40" t="n">
        <x:v>0.42091179027625214</x:v>
      </x:c>
      <x:c r="F209" s="40" t="n">
        <x:v>0.01373072317732661</x:v>
      </x:c>
      <x:c r="G209" s="40" t="n">
        <x:v>0.355432322697595</x:v>
      </x:c>
      <x:c r="H209" s="40" t="n">
        <x:v>0.08305650789281499</x:v>
      </x:c>
    </x:row>
    <x:row r="210">
      <x:c r="A210" t="n">
        <x:v>161</x:v>
      </x:c>
      <x:c r="B210" s="40" t="n">
        <x:v>0.08434489393464567</x:v>
      </x:c>
      <x:c r="C210" s="40" t="n">
        <x:v>0.08586307512978078</x:v>
      </x:c>
      <x:c r="D210" s="40" t="n">
        <x:v>0.7557503348525271</x:v>
      </x:c>
      <x:c r="E210" s="40" t="n">
        <x:v>0.11016755774248004</x:v>
      </x:c>
      <x:c r="F210" s="40" t="n">
        <x:v>0.19252039493060014</x:v>
      </x:c>
      <x:c r="G210" s="40" t="n">
        <x:v>0.257148544197155</x:v>
      </x:c>
      <x:c r="H210" s="40" t="n">
        <x:v>0.004940777649015242</x:v>
      </x:c>
    </x:row>
    <x:row r="211">
      <x:c r="A211" t="n">
        <x:v>162</x:v>
      </x:c>
      <x:c r="B211" s="40" t="n">
        <x:v>0.07306561167261434</x:v>
      </x:c>
      <x:c r="C211" s="40" t="n">
        <x:v>0.08280755401912963</x:v>
      </x:c>
      <x:c r="D211" s="40" t="n">
        <x:v>0.6474260247607744</x:v>
      </x:c>
      <x:c r="E211" s="40" t="n">
        <x:v>0.06326196872817083</x:v>
      </x:c>
      <x:c r="F211" s="40" t="n">
        <x:v>0.1768393795694799</x:v>
      </x:c>
      <x:c r="G211" s="40" t="n">
        <x:v>0.11821895867174112</x:v>
      </x:c>
      <x:c r="H211" s="40" t="n">
        <x:v>0.502659657930796</x:v>
      </x:c>
    </x:row>
    <x:row r="212">
      <x:c r="A212" t="n">
        <x:v>163</x:v>
      </x:c>
      <x:c r="B212" s="40" t="n">
        <x:v>0.08568890449575292</x:v>
      </x:c>
      <x:c r="C212" s="40" t="n">
        <x:v>0.09084520921827377</x:v>
      </x:c>
      <x:c r="D212" s="40" t="n">
        <x:v>0.7290979778885621</x:v>
      </x:c>
      <x:c r="E212" s="40" t="n">
        <x:v>0.06361089733291783</x:v>
      </x:c>
      <x:c r="F212" s="40" t="n">
        <x:v>0.22008187178498537</x:v>
      </x:c>
      <x:c r="G212" s="40" t="n">
        <x:v>0.09917907856703932</x:v>
      </x:c>
      <x:c r="H212" s="40" t="n">
        <x:v>0.05444580538374408</x:v>
      </x:c>
    </x:row>
    <x:row r="213">
      <x:c r="A213" t="n">
        <x:v>164</x:v>
      </x:c>
      <x:c r="B213" s="40" t="n">
        <x:v>0.10099659898551182</x:v>
      </x:c>
      <x:c r="C213" s="40" t="n">
        <x:v>0.18681354857571014</x:v>
      </x:c>
      <x:c r="D213" s="40" t="n">
        <x:v>0.43649271401008016</x:v>
      </x:c>
      <x:c r="E213" s="40" t="n">
        <x:v>0.27745632596876246</x:v>
      </x:c>
      <x:c r="F213" s="40" t="n">
        <x:v>0.5624775382431568</x:v>
      </x:c>
      <x:c r="G213" s="40" t="n">
        <x:v>0.10970318768779905</x:v>
      </x:c>
      <x:c r="H213" s="40" t="n">
        <x:v>0.005699686141101681</x:v>
      </x:c>
    </x:row>
    <x:row r="214">
      <x:c r="A214" t="n">
        <x:v>165</x:v>
      </x:c>
      <x:c r="B214" s="40" t="n">
        <x:v>0.08315554434015626</x:v>
      </x:c>
      <x:c r="C214" s="40" t="n">
        <x:v>0.08476976979879056</x:v>
      </x:c>
      <x:c r="D214" s="40" t="n">
        <x:v>0.7514671602566858</x:v>
      </x:c>
      <x:c r="E214" s="40" t="n">
        <x:v>0.03994607149663869</x:v>
      </x:c>
      <x:c r="F214" s="40" t="n">
        <x:v>0.1847250474182634</x:v>
      </x:c>
      <x:c r="G214" s="40" t="n">
        <x:v>0.3231649401924899</x:v>
      </x:c>
      <x:c r="H214" s="40" t="n">
        <x:v>0.11124213558391263</x:v>
      </x:c>
    </x:row>
    <x:row r="215">
      <x:c r="A215" t="n">
        <x:v>166</x:v>
      </x:c>
      <x:c r="B215" s="40" t="n">
        <x:v>0.09088705388487058</x:v>
      </x:c>
      <x:c r="C215" s="40" t="n">
        <x:v>0.1256560051456932</x:v>
      </x:c>
      <x:c r="D215" s="40" t="n">
        <x:v>0.5684822436317343</x:v>
      </x:c>
      <x:c r="E215" s="40" t="n">
        <x:v>0.0008935325851684699</x:v>
      </x:c>
      <x:c r="F215" s="40" t="n">
        <x:v>0.3955232655850971</x:v>
      </x:c>
      <x:c r="G215" s="40" t="n">
        <x:v>0.02767218598123408</x:v>
      </x:c>
      <x:c r="H215" s="40" t="n">
        <x:v>0.23796367605165816</x:v>
      </x:c>
    </x:row>
    <x:row r="216">
      <x:c r="A216" t="n">
        <x:v>167</x:v>
      </x:c>
      <x:c r="B216" s="40" t="n">
        <x:v>0.08509445110917863</x:v>
      </x:c>
      <x:c r="C216" s="40" t="n">
        <x:v>0.09259391315855275</x:v>
      </x:c>
      <x:c r="D216" s="40" t="n">
        <x:v>0.7089084229860022</x:v>
      </x:c>
      <x:c r="E216" s="40" t="n">
        <x:v>0.329376534313271</x:v>
      </x:c>
      <x:c r="F216" s="40" t="n">
        <x:v>0.05646203847552564</x:v>
      </x:c>
      <x:c r="G216" s="40" t="n">
        <x:v>0.16414545813678855</x:v>
      </x:c>
      <x:c r="H216" s="40" t="n">
        <x:v>0.26808608552485996</x:v>
      </x:c>
    </x:row>
    <x:row r="217">
      <x:c r="A217" t="n">
        <x:v>168</x:v>
      </x:c>
      <x:c r="B217" s="40" t="n">
        <x:v>0.07762395641397171</x:v>
      </x:c>
      <x:c r="C217" s="40" t="n">
        <x:v>0.07628809238576607</x:v>
      </x:c>
      <x:c r="D217" s="40" t="n">
        <x:v>0.762505765198279</x:v>
      </x:c>
      <x:c r="E217" s="40" t="n">
        <x:v>0.008813223834127425</x:v>
      </x:c>
      <x:c r="F217" s="40" t="n">
        <x:v>0.18545048635010838</x:v>
      </x:c>
      <x:c r="G217" s="40" t="n">
        <x:v>0.2568845322696245</x:v>
      </x:c>
      <x:c r="H217" s="40" t="n">
        <x:v>0.20844645364907094</x:v>
      </x:c>
    </x:row>
    <x:row r="218">
      <x:c r="A218" t="n">
        <x:v>169</x:v>
      </x:c>
      <x:c r="B218" s="40" t="n">
        <x:v>0.06312874902509086</x:v>
      </x:c>
      <x:c r="C218" s="40" t="n">
        <x:v>0.0730549360017538</x:v>
      </x:c>
      <x:c r="D218" s="40" t="n">
        <x:v>0.5978364401030508</x:v>
      </x:c>
      <x:c r="E218" s="40" t="n">
        <x:v>0.0037499382472093055</x:v>
      </x:c>
      <x:c r="F218" s="40" t="n">
        <x:v>0.17238303662766813</x:v>
      </x:c>
      <x:c r="G218" s="40" t="n">
        <x:v>0.09444105259078657</x:v>
      </x:c>
      <x:c r="H218" s="40" t="n">
        <x:v>0.10188661614656287</x:v>
      </x:c>
    </x:row>
    <x:row r="219">
      <x:c r="A219" t="n">
        <x:v>170</x:v>
      </x:c>
      <x:c r="B219" s="40" t="n">
        <x:v>0.06767528921233337</x:v>
      </x:c>
      <x:c r="C219" s="40" t="n">
        <x:v>0.07684018469338609</x:v>
      </x:c>
      <x:c r="D219" s="40" t="n">
        <x:v>0.627555012405349</x:v>
      </x:c>
      <x:c r="E219" s="40" t="n">
        <x:v>0.008374158906463501</x:v>
      </x:c>
      <x:c r="F219" s="40" t="n">
        <x:v>0.22047635547459152</x:v>
      </x:c>
      <x:c r="G219" s="40" t="n">
        <x:v>0.17336878212925363</x:v>
      </x:c>
      <x:c r="H219" s="40" t="n">
        <x:v>0.023754991169576634</x:v>
      </x:c>
    </x:row>
    <x:row r="220">
      <x:c r="A220" t="n">
        <x:v>171</x:v>
      </x:c>
      <x:c r="B220" s="40" t="n">
        <x:v>0.07450918660491271</x:v>
      </x:c>
      <x:c r="C220" s="40" t="n">
        <x:v>0.06426994264570975</x:v>
      </x:c>
      <x:c r="D220" s="40" t="n">
        <x:v>0.8566265688855675</x:v>
      </x:c>
      <x:c r="E220" s="40" t="n">
        <x:v>0.0006948156909820474</x:v>
      </x:c>
      <x:c r="F220" s="40" t="n">
        <x:v>0.07934681039710276</x:v>
      </x:c>
      <x:c r="G220" s="40" t="n">
        <x:v>0.04227660983534945</x:v>
      </x:c>
      <x:c r="H220" s="40" t="n">
        <x:v>0.3969363490313769</x:v>
      </x:c>
    </x:row>
    <x:row r="221">
      <x:c r="A221" t="n">
        <x:v>172</x:v>
      </x:c>
      <x:c r="B221" s="40" t="n">
        <x:v>0.06468892163296673</x:v>
      </x:c>
      <x:c r="C221" s="40" t="n">
        <x:v>0.06031815380172692</x:v>
      </x:c>
      <x:c r="D221" s="40" t="n">
        <x:v>0.7499413133202609</x:v>
      </x:c>
      <x:c r="E221" s="40" t="n">
        <x:v>0.042762798781764096</x:v>
      </x:c>
      <x:c r="F221" s="40" t="n">
        <x:v>0.09397376266511165</x:v>
      </x:c>
      <x:c r="G221" s="40" t="n">
        <x:v>0.44632969711240117</x:v>
      </x:c>
      <x:c r="H221" s="40" t="n">
        <x:v>0.2226453485810875</x:v>
      </x:c>
    </x:row>
    <x:row r="222">
      <x:c r="A222" t="n">
        <x:v>173</x:v>
      </x:c>
      <x:c r="B222" s="40" t="n">
        <x:v>0.08064097775641657</x:v>
      </x:c>
      <x:c r="C222" s="40" t="n">
        <x:v>0.09266472859138185</x:v>
      </x:c>
      <x:c r="D222" s="40" t="n">
        <x:v>0.6603065970482003</x:v>
      </x:c>
      <x:c r="E222" s="40" t="n">
        <x:v>0.28986003719790765</x:v>
      </x:c>
      <x:c r="F222" s="40" t="n">
        <x:v>0.06463203926972708</x:v>
      </x:c>
      <x:c r="G222" s="40" t="n">
        <x:v>0.029029127801712427</x:v>
      </x:c>
      <x:c r="H222" s="40" t="n">
        <x:v>0.5203727971346684</x:v>
      </x:c>
    </x:row>
    <x:row r="223">
      <x:c r="A223" t="n">
        <x:v>174</x:v>
      </x:c>
      <x:c r="B223" s="40" t="n">
        <x:v>0.09246290387574596</x:v>
      </x:c>
      <x:c r="C223" s="40" t="n">
        <x:v>0.09932482819495111</x:v>
      </x:c>
      <x:c r="D223" s="40" t="n">
        <x:v>0.7350534508713201</x:v>
      </x:c>
      <x:c r="E223" s="40" t="n">
        <x:v>0.2562317700875885</x:v>
      </x:c>
      <x:c r="F223" s="40" t="n">
        <x:v>0.09801998581699967</x:v>
      </x:c>
      <x:c r="G223" s="40" t="n">
        <x:v>0.13316824221856627</x:v>
      </x:c>
      <x:c r="H223" s="40" t="n">
        <x:v>0.15108091319866002</x:v>
      </x:c>
    </x:row>
    <x:row r="224">
      <x:c r="A224" t="n">
        <x:v>175</x:v>
      </x:c>
      <x:c r="B224" s="40" t="n">
        <x:v>0.06839157181557473</x:v>
      </x:c>
      <x:c r="C224" s="40" t="n">
        <x:v>0.070929973361917</x:v>
      </x:c>
      <x:c r="D224" s="40" t="n">
        <x:v>0.6899442272736525</x:v>
      </x:c>
      <x:c r="E224" s="40" t="n">
        <x:v>0.06281319451147344</x:v>
      </x:c>
      <x:c r="F224" s="40" t="n">
        <x:v>0.13110468354939134</x:v>
      </x:c>
      <x:c r="G224" s="40" t="n">
        <x:v>0.3064047407579887</x:v>
      </x:c>
      <x:c r="H224" s="40" t="n">
        <x:v>0.43500702471507097</x:v>
      </x:c>
    </x:row>
    <x:row r="225">
      <x:c r="A225" t="n">
        <x:v>176</x:v>
      </x:c>
      <x:c r="B225" s="40" t="n">
        <x:v>0.0750897711620702</x:v>
      </x:c>
      <x:c r="C225" s="40" t="n">
        <x:v>0.0756751999086698</x:v>
      </x:c>
      <x:c r="D225" s="40" t="n">
        <x:v>0.7351936311416346</x:v>
      </x:c>
      <x:c r="E225" s="40" t="n">
        <x:v>0.05006263454071957</x:v>
      </x:c>
      <x:c r="F225" s="40" t="n">
        <x:v>0.05572946113336773</x:v>
      </x:c>
      <x:c r="G225" s="40" t="n">
        <x:v>0.08457636191338286</x:v>
      </x:c>
      <x:c r="H225" s="40" t="n">
        <x:v>0.6833996074878158</x:v>
      </x:c>
    </x:row>
    <x:row r="226">
      <x:c r="A226" t="n">
        <x:v>177</x:v>
      </x:c>
      <x:c r="B226" s="40" t="n">
        <x:v>0.09621888426387251</x:v>
      </x:c>
      <x:c r="C226" s="40" t="n">
        <x:v>0.10786996832761325</x:v>
      </x:c>
      <x:c r="D226" s="40" t="n">
        <x:v>0.711644207374589</x:v>
      </x:c>
      <x:c r="E226" s="40" t="n">
        <x:v>0.029932294613674623</x:v>
      </x:c>
      <x:c r="F226" s="40" t="n">
        <x:v>0.06829866808164839</x:v>
      </x:c>
      <x:c r="G226" s="40" t="n">
        <x:v>0.09603441375520294</x:v>
      </x:c>
      <x:c r="H226" s="40" t="n">
        <x:v>0.28942637095779694</x:v>
      </x:c>
    </x:row>
    <x:row r="227">
      <x:c r="A227" t="n">
        <x:v>178</x:v>
      </x:c>
      <x:c r="B227" s="40" t="n">
        <x:v>0.10124767803920307</x:v>
      </x:c>
      <x:c r="C227" s="40" t="n">
        <x:v>0.18769020000956238</x:v>
      </x:c>
      <x:c r="D227" s="40" t="n">
        <x:v>0.43579170292956</x:v>
      </x:c>
      <x:c r="E227" s="40" t="n">
        <x:v>0.15617306077584772</x:v>
      </x:c>
      <x:c r="F227" s="40" t="n">
        <x:v>0.6190139396507242</x:v>
      </x:c>
      <x:c r="G227" s="40" t="n">
        <x:v>0.10429664014450082</x:v>
      </x:c>
      <x:c r="H227" s="40" t="n">
        <x:v>0.07567027677419529</x:v>
      </x:c>
    </x:row>
    <x:row r="228">
      <x:c r="A228" t="n">
        <x:v>179</x:v>
      </x:c>
      <x:c r="B228" s="40" t="n">
        <x:v>0.07711940380718128</x:v>
      </x:c>
      <x:c r="C228" s="40" t="n">
        <x:v>0.10114731615095428</x:v>
      </x:c>
      <x:c r="D228" s="40" t="n">
        <x:v>0.5701145601063097</x:v>
      </x:c>
      <x:c r="E228" s="40" t="n">
        <x:v>0.0056585734104654065</x:v>
      </x:c>
      <x:c r="F228" s="40" t="n">
        <x:v>0.2907228432397295</x:v>
      </x:c>
      <x:c r="G228" s="40" t="n">
        <x:v>0.17083297735074238</x:v>
      </x:c>
      <x:c r="H228" s="40" t="n">
        <x:v>0.5065873221569327</x:v>
      </x:c>
    </x:row>
    <x:row r="229">
      <x:c r="A229" t="n">
        <x:v>180</x:v>
      </x:c>
      <x:c r="B229" s="40" t="n">
        <x:v>0.08880843384785794</x:v>
      </x:c>
      <x:c r="C229" s="40" t="n">
        <x:v>0.10947091734148984</x:v>
      </x:c>
      <x:c r="D229" s="40" t="n">
        <x:v>0.6335434961019202</x:v>
      </x:c>
      <x:c r="E229" s="40" t="n">
        <x:v>0.1854460231966092</x:v>
      </x:c>
      <x:c r="F229" s="40" t="n">
        <x:v>0.24420990364538567</x:v>
      </x:c>
      <x:c r="G229" s="40" t="n">
        <x:v>0.11263249437200203</x:v>
      </x:c>
      <x:c r="H229" s="40" t="n">
        <x:v>0.2759451734119196</x:v>
      </x:c>
    </x:row>
    <x:row r="230">
      <x:c r="A230" t="n">
        <x:v>181</x:v>
      </x:c>
      <x:c r="B230" s="40" t="n">
        <x:v>0.07640079300519603</x:v>
      </x:c>
      <x:c r="C230" s="40" t="n">
        <x:v>0.07043332448844333</x:v>
      </x:c>
      <x:c r="D230" s="40" t="n">
        <x:v>0.8085227733456442</x:v>
      </x:c>
      <x:c r="E230" s="40" t="n">
        <x:v>0.042151395504534665</x:v>
      </x:c>
      <x:c r="F230" s="40" t="n">
        <x:v>0.13271186232405355</x:v>
      </x:c>
      <x:c r="G230" s="40" t="n">
        <x:v>0.2216231595211833</x:v>
      </x:c>
      <x:c r="H230" s="40" t="n">
        <x:v>0.22515371412065097</x:v>
      </x:c>
    </x:row>
    <x:row r="231">
      <x:c r="A231" t="n">
        <x:v>182</x:v>
      </x:c>
      <x:c r="B231" s="40" t="n">
        <x:v>0.10260237006098757</x:v>
      </x:c>
      <x:c r="C231" s="40" t="n">
        <x:v>0.11956352632082351</x:v>
      </x:c>
      <x:c r="D231" s="40" t="n">
        <x:v>0.695433854000173</x:v>
      </x:c>
      <x:c r="E231" s="40" t="n">
        <x:v>0.11318192923319069</x:v>
      </x:c>
      <x:c r="F231" s="40" t="n">
        <x:v>0.2339655759817493</x:v>
      </x:c>
      <x:c r="G231" s="40" t="n">
        <x:v>0.008306261033202417</x:v>
      </x:c>
      <x:c r="H231" s="40" t="n">
        <x:v>0.15942824888324142</x:v>
      </x:c>
    </x:row>
    <x:row r="232">
      <x:c r="A232" t="n">
        <x:v>183</x:v>
      </x:c>
      <x:c r="B232" s="40" t="n">
        <x:v>0.09780416123986199</x:v>
      </x:c>
      <x:c r="C232" s="40" t="n">
        <x:v>0.13674398279628147</x:v>
      </x:c>
      <x:c r="D232" s="40" t="n">
        <x:v>0.572970842912632</x:v>
      </x:c>
      <x:c r="E232" s="40" t="n">
        <x:v>0.011078154309303178</x:v>
      </x:c>
      <x:c r="F232" s="40" t="n">
        <x:v>0.4142606851177433</x:v>
      </x:c>
      <x:c r="G232" s="40" t="n">
        <x:v>0.005564179804440769</x:v>
      </x:c>
      <x:c r="H232" s="40" t="n">
        <x:v>0.34210007735317083</x:v>
      </x:c>
    </x:row>
    <x:row r="233">
      <x:c r="A233" t="n">
        <x:v>184</x:v>
      </x:c>
      <x:c r="B233" s="40" t="n">
        <x:v>0.06587506547965029</x:v>
      </x:c>
      <x:c r="C233" s="40" t="n">
        <x:v>0.06881482872530562</x:v>
      </x:c>
      <x:c r="D233" s="40" t="n">
        <x:v>0.6745816299435681</x:v>
      </x:c>
      <x:c r="E233" s="40" t="n">
        <x:v>0.03978232385334428</x:v>
      </x:c>
      <x:c r="F233" s="40" t="n">
        <x:v>0.1479344106716241</x:v>
      </x:c>
      <x:c r="G233" s="40" t="n">
        <x:v>0.3987573653992068</x:v>
      </x:c>
      <x:c r="H233" s="40" t="n">
        <x:v>0.35085674621518725</x:v>
      </x:c>
    </x:row>
    <x:row r="234">
      <x:c r="A234" t="n">
        <x:v>185</x:v>
      </x:c>
      <x:c r="B234" s="40" t="n">
        <x:v>0.09742061110482456</x:v>
      </x:c>
      <x:c r="C234" s="40" t="n">
        <x:v>0.10911162792839221</x:v>
      </x:c>
      <x:c r="D234" s="40" t="n">
        <x:v>0.7145596343053963</x:v>
      </x:c>
      <x:c r="E234" s="40" t="n">
        <x:v>0.0005622212213540168</x:v>
      </x:c>
      <x:c r="F234" s="40" t="n">
        <x:v>0.05693082107283872</x:v>
      </x:c>
      <x:c r="G234" s="40" t="n">
        <x:v>0.03771376453434417</x:v>
      </x:c>
      <x:c r="H234" s="40" t="n">
        <x:v>0.24994597504534222</x:v>
      </x:c>
    </x:row>
    <x:row r="235">
      <x:c r="A235" t="n">
        <x:v>186</x:v>
      </x:c>
      <x:c r="B235" s="40" t="n">
        <x:v>0.05352339533689124</x:v>
      </x:c>
      <x:c r="C235" s="40" t="n">
        <x:v>0.048529379941054974</x:v>
      </x:c>
      <x:c r="D235" s="40" t="n">
        <x:v>0.7020396556565699</x:v>
      </x:c>
      <x:c r="E235" s="40" t="n">
        <x:v>0.11954406390505787</x:v>
      </x:c>
      <x:c r="F235" s="40" t="n">
        <x:v>0.008731884025640612</x:v>
      </x:c>
      <x:c r="G235" s="40" t="n">
        <x:v>0.5573058386004001</x:v>
      </x:c>
      <x:c r="H235" s="40" t="n">
        <x:v>0.03255648555069296</x:v>
      </x:c>
    </x:row>
    <x:row r="236">
      <x:c r="A236" t="n">
        <x:v>187</x:v>
      </x:c>
      <x:c r="B236" s="40" t="n">
        <x:v>0.07575897587068664</x:v>
      </x:c>
      <x:c r="C236" s="40" t="n">
        <x:v>0.0885393937440938</x:v>
      </x:c>
      <x:c r="D236" s="40" t="n">
        <x:v>0.6359330839736683</x:v>
      </x:c>
      <x:c r="E236" s="40" t="n">
        <x:v>0.4011067078752977</x:v>
      </x:c>
      <x:c r="F236" s="40" t="n">
        <x:v>0.030545243719403734</x:v>
      </x:c>
      <x:c r="G236" s="40" t="n">
        <x:v>0.1803171879667414</x:v>
      </x:c>
      <x:c r="H236" s="40" t="n">
        <x:v>0.2921538055507132</x:v>
      </x:c>
    </x:row>
    <x:row r="237">
      <x:c r="A237" t="n">
        <x:v>188</x:v>
      </x:c>
      <x:c r="B237" s="40" t="n">
        <x:v>0.08629185920142045</x:v>
      </x:c>
      <x:c r="C237" s="40" t="n">
        <x:v>0.13214461129616978</x:v>
      </x:c>
      <x:c r="D237" s="40" t="n">
        <x:v>0.5057944655629828</x:v>
      </x:c>
      <x:c r="E237" s="40" t="n">
        <x:v>0.002302243468077726</x:v>
      </x:c>
      <x:c r="F237" s="40" t="n">
        <x:v>0.4766366743859354</x:v>
      </x:c>
      <x:c r="G237" s="40" t="n">
        <x:v>0.20240197889207692</x:v>
      </x:c>
      <x:c r="H237" s="40" t="n">
        <x:v>0.02064552176615046</x:v>
      </x:c>
    </x:row>
    <x:row r="238">
      <x:c r="A238" t="n">
        <x:v>189</x:v>
      </x:c>
      <x:c r="B238" s="40" t="n">
        <x:v>0.09183828189487409</x:v>
      </x:c>
      <x:c r="C238" s="40" t="n">
        <x:v>0.14555484959486514</x:v>
      </x:c>
      <x:c r="D238" s="40" t="n">
        <x:v>0.49730006209000605</x:v>
      </x:c>
      <x:c r="E238" s="40" t="n">
        <x:v>0.024475675151914553</x:v>
      </x:c>
      <x:c r="F238" s="40" t="n">
        <x:v>0.46989078297802017</x:v>
      </x:c>
      <x:c r="G238" s="40" t="n">
        <x:v>0.008535897828337644</x:v>
      </x:c>
      <x:c r="H238" s="40" t="n">
        <x:v>0.26793497329770244</x:v>
      </x:c>
    </x:row>
    <x:row r="239">
      <x:c r="A239" t="n">
        <x:v>190</x:v>
      </x:c>
      <x:c r="B239" s="40" t="n">
        <x:v>0.07033234566677048</x:v>
      </x:c>
      <x:c r="C239" s="40" t="n">
        <x:v>0.06949180652424441</x:v>
      </x:c>
      <x:c r="D239" s="40" t="n">
        <x:v>0.7321510557532239</x:v>
      </x:c>
      <x:c r="E239" s="40" t="n">
        <x:v>0.2700368910636746</x:v>
      </x:c>
      <x:c r="F239" s="40" t="n">
        <x:v>0.008946256975972509</x:v>
      </x:c>
      <x:c r="G239" s="40" t="n">
        <x:v>0.09288332104242851</x:v>
      </x:c>
      <x:c r="H239" s="40" t="n">
        <x:v>0.30351990177206606</x:v>
      </x:c>
    </x:row>
    <x:row r="240">
      <x:c r="A240" t="n">
        <x:v>191</x:v>
      </x:c>
      <x:c r="B240" s="40" t="n">
        <x:v>0.10650510548540709</x:v>
      </x:c>
      <x:c r="C240" s="40" t="n">
        <x:v>0.13257086214021332</x:v>
      </x:c>
      <x:c r="D240" s="40" t="n">
        <x:v>0.656639460030752</x:v>
      </x:c>
      <x:c r="E240" s="40" t="n">
        <x:v>0.07658333003913281</x:v>
      </x:c>
      <x:c r="F240" s="40" t="n">
        <x:v>0.026347220121236657</x:v>
      </x:c>
      <x:c r="G240" s="40" t="n">
        <x:v>0.09703971417775216</x:v>
      </x:c>
      <x:c r="H240" s="40" t="n">
        <x:v>0.07722744077740498</x:v>
      </x:c>
    </x:row>
    <x:row r="241">
      <x:c r="A241" t="n">
        <x:v>192</x:v>
      </x:c>
      <x:c r="B241" s="40" t="n">
        <x:v>0.07943305470742013</x:v>
      </x:c>
      <x:c r="C241" s="40" t="n">
        <x:v>0.090005889917712</x:v>
      </x:c>
      <x:c r="D241" s="40" t="n">
        <x:v>0.6663920395477456</x:v>
      </x:c>
      <x:c r="E241" s="40" t="n">
        <x:v>0.2987033972163708</x:v>
      </x:c>
      <x:c r="F241" s="40" t="n">
        <x:v>0.11211092433328154</x:v>
      </x:c>
      <x:c r="G241" s="40" t="n">
        <x:v>0.12783777309968133</x:v>
      </x:c>
      <x:c r="H241" s="40" t="n">
        <x:v>0.18352277544869403</x:v>
      </x:c>
    </x:row>
    <x:row r="242">
      <x:c r="A242" t="n">
        <x:v>193</x:v>
      </x:c>
      <x:c r="B242" s="40" t="n">
        <x:v>0.08175886911295534</x:v>
      </x:c>
      <x:c r="C242" s="40" t="n">
        <x:v>0.0791657642094384</x:v>
      </x:c>
      <x:c r="D242" s="40" t="n">
        <x:v>0.7870197879259653</x:v>
      </x:c>
      <x:c r="E242" s="40" t="n">
        <x:v>0.14741564395620235</x:v>
      </x:c>
      <x:c r="F242" s="40" t="n">
        <x:v>0.013544879425009355</x:v>
      </x:c>
      <x:c r="G242" s="40" t="n">
        <x:v>0.1841175644259811</x:v>
      </x:c>
      <x:c r="H242" s="40" t="n">
        <x:v>0.30555914747680235</x:v>
      </x:c>
    </x:row>
    <x:row r="243">
      <x:c r="A243" t="n">
        <x:v>194</x:v>
      </x:c>
      <x:c r="B243" s="40" t="n">
        <x:v>0.10313066781861877</x:v>
      </x:c>
      <x:c r="C243" s="40" t="n">
        <x:v>0.11857978482420604</x:v>
      </x:c>
      <x:c r="D243" s="40" t="n">
        <x:v>0.7056584036547469</x:v>
      </x:c>
      <x:c r="E243" s="40" t="n">
        <x:v>0.2924994833454335</x:v>
      </x:c>
      <x:c r="F243" s="40" t="n">
        <x:v>0.11605204710291044</x:v>
      </x:c>
      <x:c r="G243" s="40" t="n">
        <x:v>0.02194059645756305</x:v>
      </x:c>
      <x:c r="H243" s="40" t="n">
        <x:v>0.058571663761695196</x:v>
      </x:c>
    </x:row>
    <x:row r="244">
      <x:c r="A244" t="n">
        <x:v>195</x:v>
      </x:c>
      <x:c r="B244" s="40" t="n">
        <x:v>0.08514735726009913</x:v>
      </x:c>
      <x:c r="C244" s="40" t="n">
        <x:v>0.11751184423383647</x:v>
      </x:c>
      <x:c r="D244" s="40" t="n">
        <x:v>0.5590373594642056</x:v>
      </x:c>
      <x:c r="E244" s="40" t="n">
        <x:v>0.2135234830816871</x:v>
      </x:c>
      <x:c r="F244" s="40" t="n">
        <x:v>0.33557262384034464</x:v>
      </x:c>
      <x:c r="G244" s="40" t="n">
        <x:v>0.3299583775822036</x:v>
      </x:c>
      <x:c r="H244" s="40" t="n">
        <x:v>0.07030139915277568</x:v>
      </x:c>
    </x:row>
    <x:row r="245">
      <x:c r="A245" t="n">
        <x:v>196</x:v>
      </x:c>
      <x:c r="B245" s="40" t="n">
        <x:v>0.07998066408720875</x:v>
      </x:c>
      <x:c r="C245" s="40" t="n">
        <x:v>0.10548195466606841</x:v>
      </x:c>
      <x:c r="D245" s="40" t="n">
        <x:v>0.5738120622145898</x:v>
      </x:c>
      <x:c r="E245" s="40" t="n">
        <x:v>0.08593590569230669</x:v>
      </x:c>
      <x:c r="F245" s="40" t="n">
        <x:v>0.3278129360842279</x:v>
      </x:c>
      <x:c r="G245" s="40" t="n">
        <x:v>0.20252327938787903</x:v>
      </x:c>
      <x:c r="H245" s="40" t="n">
        <x:v>0.029901211128666363</x:v>
      </x:c>
    </x:row>
    <x:row r="246">
      <x:c r="A246" t="n">
        <x:v>197</x:v>
      </x:c>
      <x:c r="B246" s="40" t="n">
        <x:v>0.08255438976596571</x:v>
      </x:c>
      <x:c r="C246" s="40" t="n">
        <x:v>0.08809985205558801</x:v>
      </x:c>
      <x:c r="D246" s="40" t="n">
        <x:v>0.7162389282141503</x:v>
      </x:c>
      <x:c r="E246" s="40" t="n">
        <x:v>0.23723098876253262</x:v>
      </x:c>
      <x:c r="F246" s="40" t="n">
        <x:v>0.07223418136035888</x:v>
      </x:c>
      <x:c r="G246" s="40" t="n">
        <x:v>0.034922304656888815</x:v>
      </x:c>
      <x:c r="H246" s="40" t="n">
        <x:v>0.4434328139768507</x:v>
      </x:c>
    </x:row>
    <x:row r="247">
      <x:c r="A247" t="n">
        <x:v>198</x:v>
      </x:c>
      <x:c r="B247" s="40" t="n">
        <x:v>0.06794501856924309</x:v>
      </x:c>
      <x:c r="C247" s="40" t="n">
        <x:v>0.08176997489143108</x:v>
      </x:c>
      <x:c r="D247" s="40" t="n">
        <x:v>0.593019289534825</x:v>
      </x:c>
      <x:c r="E247" s="40" t="n">
        <x:v>0.04131624870384274</x:v>
      </x:c>
      <x:c r="F247" s="40" t="n">
        <x:v>0.252805036324672</x:v>
      </x:c>
      <x:c r="G247" s="40" t="n">
        <x:v>0.26791512115530214</x:v>
      </x:c>
      <x:c r="H247" s="40" t="n">
        <x:v>0.03162202471940709</x:v>
      </x:c>
    </x:row>
    <x:row r="248">
      <x:c r="A248" t="n">
        <x:v>199</x:v>
      </x:c>
      <x:c r="B248" s="40" t="n">
        <x:v>0.09864533222577056</x:v>
      </x:c>
      <x:c r="C248" s="40" t="n">
        <x:v>0.12080834375959408</x:v>
      </x:c>
      <x:c r="D248" s="40" t="n">
        <x:v>0.6555133826643108</x:v>
      </x:c>
      <x:c r="E248" s="40" t="n">
        <x:v>0.05498668685971334</x:v>
      </x:c>
      <x:c r="F248" s="40" t="n">
        <x:v>0.3173186741681203</x:v>
      </x:c>
      <x:c r="G248" s="40" t="n">
        <x:v>0.015603456062961726</x:v>
      </x:c>
      <x:c r="H248" s="40" t="n">
        <x:v>0.14185566902306407</x:v>
      </x:c>
    </x:row>
    <x:row r="249">
      <x:c r="A249" t="n">
        <x:v>200</x:v>
      </x:c>
      <x:c r="B249" s="40" t="n">
        <x:v>0.09329060358225033</x:v>
      </x:c>
      <x:c r="C249" s="40" t="n">
        <x:v>0.14800865321407106</x:v>
      </x:c>
      <x:c r="D249" s="40" t="n">
        <x:v>0.4988678420146896</x:v>
      </x:c>
      <x:c r="E249" s="40" t="n">
        <x:v>0.09729860723677758</x:v>
      </x:c>
      <x:c r="F249" s="40" t="n">
        <x:v>0.4758145052666996</x:v>
      </x:c>
      <x:c r="G249" s="40" t="n">
        <x:v>0.11268196262334537</x:v>
      </x:c>
      <x:c r="H249" s="40" t="n">
        <x:v>0.16732721220320462</x:v>
      </x:c>
    </x:row>
    <x:row r="250">
      <x:c r="A250" t="n">
        <x:v>201</x:v>
      </x:c>
      <x:c r="B250" s="40" t="n">
        <x:v>0.07523790652056887</x:v>
      </x:c>
      <x:c r="C250" s="40" t="n">
        <x:v>0.07070562022533373</x:v>
      </x:c>
      <x:c r="D250" s="40" t="n">
        <x:v>0.7889621813505479</x:v>
      </x:c>
      <x:c r="E250" s="40" t="n">
        <x:v>0.05954897800033607</x:v>
      </x:c>
      <x:c r="F250" s="40" t="n">
        <x:v>0.049229201671176025</x:v>
      </x:c>
      <x:c r="G250" s="40" t="n">
        <x:v>0.11627330974405736</x:v>
      </x:c>
      <x:c r="H250" s="40" t="n">
        <x:v>0.5352965276943464</x:v>
      </x:c>
    </x:row>
    <x:row r="251">
      <x:c r="A251" t="n">
        <x:v>202</x:v>
      </x:c>
      <x:c r="B251" s="40" t="n">
        <x:v>0.0967705576368369</x:v>
      </x:c>
      <x:c r="C251" s="40" t="n">
        <x:v>0.10941314555539183</x:v>
      </x:c>
      <x:c r="D251" s="40" t="n">
        <x:v>0.7066491973201533</x:v>
      </x:c>
      <x:c r="E251" s="40" t="n">
        <x:v>0.04209240995885487</x:v>
      </x:c>
      <x:c r="F251" s="40" t="n">
        <x:v>0.25008006955780265</x:v>
      </x:c>
      <x:c r="G251" s="40" t="n">
        <x:v>0.0011215558915949515</x:v>
      </x:c>
      <x:c r="H251" s="40" t="n">
        <x:v>0.13806391011657476</x:v>
      </x:c>
    </x:row>
    <x:row r="252">
      <x:c r="A252" t="n">
        <x:v>203</x:v>
      </x:c>
      <x:c r="B252" s="40" t="n">
        <x:v>0.0859310299302708</x:v>
      </x:c>
      <x:c r="C252" s="40" t="n">
        <x:v>0.09254718679627545</x:v>
      </x:c>
      <x:c r="D252" s="40" t="n">
        <x:v>0.7183058294657965</x:v>
      </x:c>
      <x:c r="E252" s="40" t="n">
        <x:v>0.35003612469171064</x:v>
      </x:c>
      <x:c r="F252" s="40" t="n">
        <x:v>0.01021450110881504</x:v>
      </x:c>
      <x:c r="G252" s="40" t="n">
        <x:v>0.11961122238268505</x:v>
      </x:c>
      <x:c r="H252" s="40" t="n">
        <x:v>0.3051511052882295</x:v>
      </x:c>
    </x:row>
    <x:row r="253">
      <x:c r="A253" t="n">
        <x:v>204</x:v>
      </x:c>
      <x:c r="B253" s="40" t="n">
        <x:v>0.06457352836079533</x:v>
      </x:c>
      <x:c r="C253" s="40" t="n">
        <x:v>0.053418633655195204</x:v>
      </x:c>
      <x:c r="D253" s="40" t="n">
        <x:v>0.8446431351686413</x:v>
      </x:c>
      <x:c r="E253" s="40" t="n">
        <x:v>0.026497975879054666</x:v>
      </x:c>
      <x:c r="F253" s="40" t="n">
        <x:v>0.010539477335368896</x:v>
      </x:c>
      <x:c r="G253" s="40" t="n">
        <x:v>0.38174584854133303</x:v>
      </x:c>
      <x:c r="H253" s="40" t="n">
        <x:v>0.015550790800581768</x:v>
      </x:c>
    </x:row>
    <x:row r="254">
      <x:c r="A254" t="n">
        <x:v>205</x:v>
      </x:c>
      <x:c r="B254" s="40" t="n">
        <x:v>0.10492436052538631</x:v>
      </x:c>
      <x:c r="C254" s="40" t="n">
        <x:v>0.15155959447867465</x:v>
      </x:c>
      <x:c r="D254" s="40" t="n">
        <x:v>0.5639399779706218</x:v>
      </x:c>
      <x:c r="E254" s="40" t="n">
        <x:v>0.10377357752472562</x:v>
      </x:c>
      <x:c r="F254" s="40" t="n">
        <x:v>0.44898570468676124</x:v>
      </x:c>
      <x:c r="G254" s="40" t="n">
        <x:v>0.0215283827353511</x:v>
      </x:c>
      <x:c r="H254" s="40" t="n">
        <x:v>0.1238427601880109</x:v>
      </x:c>
    </x:row>
    <x:row r="255">
      <x:c r="A255" t="n">
        <x:v>206</x:v>
      </x:c>
      <x:c r="B255" s="40" t="n">
        <x:v>0.09149314816830756</x:v>
      </x:c>
      <x:c r="C255" s="40" t="n">
        <x:v>0.09569265055133201</x:v>
      </x:c>
      <x:c r="D255" s="40" t="n">
        <x:v>0.7528195906311286</x:v>
      </x:c>
      <x:c r="E255" s="40" t="n">
        <x:v>0.05817522158876718</x:v>
      </x:c>
      <x:c r="F255" s="40" t="n">
        <x:v>0.17951509445800728</x:v>
      </x:c>
      <x:c r="G255" s="40" t="n">
        <x:v>0.09283075809643591</x:v>
      </x:c>
      <x:c r="H255" s="40" t="n">
        <x:v>0.18016022837385506</x:v>
      </x:c>
    </x:row>
    <x:row r="256">
      <x:c r="A256" t="n">
        <x:v>207</x:v>
      </x:c>
      <x:c r="B256" s="40" t="n">
        <x:v>0.07083677993901807</x:v>
      </x:c>
      <x:c r="C256" s="40" t="n">
        <x:v>0.07238089819936294</x:v>
      </x:c>
      <x:c r="D256" s="40" t="n">
        <x:v>0.709896327117203</x:v>
      </x:c>
      <x:c r="E256" s="40" t="n">
        <x:v>0.32838592821088397</x:v>
      </x:c>
      <x:c r="F256" s="40" t="n">
        <x:v>0.031824794391816416</x:v>
      </x:c>
      <x:c r="G256" s="40" t="n">
        <x:v>0.21549323662303227</x:v>
      </x:c>
      <x:c r="H256" s="40" t="n">
        <x:v>0.03115244146895446</x:v>
      </x:c>
    </x:row>
    <x:row r="257">
      <x:c r="A257" t="n">
        <x:v>208</x:v>
      </x:c>
      <x:c r="B257" s="40" t="n">
        <x:v>0.07655665041413875</x:v>
      </x:c>
      <x:c r="C257" s="40" t="n">
        <x:v>0.07283922621847519</x:v>
      </x:c>
      <x:c r="D257" s="40" t="n">
        <x:v>0.7839567664958095</x:v>
      </x:c>
      <x:c r="E257" s="40" t="n">
        <x:v>0.2636794128022021</x:v>
      </x:c>
      <x:c r="F257" s="40" t="n">
        <x:v>0.029850744512068945</x:v>
      </x:c>
      <x:c r="G257" s="40" t="n">
        <x:v>0.09326445128532006</x:v>
      </x:c>
      <x:c r="H257" s="40" t="n">
        <x:v>0.027520074685303843</x:v>
      </x:c>
    </x:row>
    <x:row r="258">
      <x:c r="A258" t="n">
        <x:v>209</x:v>
      </x:c>
      <x:c r="B258" s="40" t="n">
        <x:v>0.07813059296037823</x:v>
      </x:c>
      <x:c r="C258" s="40" t="n">
        <x:v>0.09574504862192099</x:v>
      </x:c>
      <x:c r="D258" s="40" t="n">
        <x:v>0.6128436681695719</x:v>
      </x:c>
      <x:c r="E258" s="40" t="n">
        <x:v>0.044015336331752405</x:v>
      </x:c>
      <x:c r="F258" s="40" t="n">
        <x:v>0.19617767352678286</x:v>
      </x:c>
      <x:c r="G258" s="40" t="n">
        <x:v>0.021416617132574887</x:v>
      </x:c>
      <x:c r="H258" s="40" t="n">
        <x:v>0.7041268947268823</x:v>
      </x:c>
    </x:row>
    <x:row r="259">
      <x:c r="A259" t="n">
        <x:v>210</x:v>
      </x:c>
      <x:c r="B259" s="40" t="n">
        <x:v>0.0800691276422537</x:v>
      </x:c>
      <x:c r="C259" s="40" t="n">
        <x:v>0.0771120186901394</x:v>
      </x:c>
      <x:c r="D259" s="40" t="n">
        <x:v>0.7860678856298525</x:v>
      </x:c>
      <x:c r="E259" s="40" t="n">
        <x:v>0.17426779698733208</x:v>
      </x:c>
      <x:c r="F259" s="40" t="n">
        <x:v>0.07189614065719559</x:v>
      </x:c>
      <x:c r="G259" s="40" t="n">
        <x:v>0.2930817404170194</x:v>
      </x:c>
      <x:c r="H259" s="40" t="n">
        <x:v>0.16268853955422263</x:v>
      </x:c>
    </x:row>
    <x:row r="260">
      <x:c r="A260" t="n">
        <x:v>211</x:v>
      </x:c>
      <x:c r="B260" s="40" t="n">
        <x:v>0.07149134981640026</x:v>
      </x:c>
      <x:c r="C260" s="40" t="n">
        <x:v>0.0710053789366467</x:v>
      </x:c>
      <x:c r="D260" s="40" t="n">
        <x:v>0.7328670650287445</x:v>
      </x:c>
      <x:c r="E260" s="40" t="n">
        <x:v>0.08833730545233137</x:v>
      </x:c>
      <x:c r="F260" s="40" t="n">
        <x:v>0.1920708176948378</x:v>
      </x:c>
      <x:c r="G260" s="40" t="n">
        <x:v>0.3614647649772196</x:v>
      </x:c>
      <x:c r="H260" s="40" t="n">
        <x:v>0.016071805281601282</x:v>
      </x:c>
    </x:row>
    <x:row r="261">
      <x:c r="A261" t="n">
        <x:v>212</x:v>
      </x:c>
      <x:c r="B261" s="40" t="n">
        <x:v>0.09747101394088059</x:v>
      </x:c>
      <x:c r="C261" s="40" t="n">
        <x:v>0.10640785670666218</x:v>
      </x:c>
      <x:c r="D261" s="40" t="n">
        <x:v>0.7331899185048597</x:v>
      </x:c>
      <x:c r="E261" s="40" t="n">
        <x:v>0.21496234166471148</x:v>
      </x:c>
      <x:c r="F261" s="40" t="n">
        <x:v>0.06572033659236881</x:v>
      </x:c>
      <x:c r="G261" s="40" t="n">
        <x:v>0.13653497169014514</x:v>
      </x:c>
      <x:c r="H261" s="40" t="n">
        <x:v>0.09127084559500977</x:v>
      </x:c>
    </x:row>
    <x:row r="262">
      <x:c r="A262" t="n">
        <x:v>213</x:v>
      </x:c>
      <x:c r="B262" s="40" t="n">
        <x:v>0.0728992084685221</x:v>
      </x:c>
      <x:c r="C262" s="40" t="n">
        <x:v>0.07793153725091877</x:v>
      </x:c>
      <x:c r="D262" s="40" t="n">
        <x:v>0.6857988973398039</x:v>
      </x:c>
      <x:c r="E262" s="40" t="n">
        <x:v>0.041184635726665024</x:v>
      </x:c>
      <x:c r="F262" s="40" t="n">
        <x:v>0.17226993302039767</x:v>
      </x:c>
      <x:c r="G262" s="40" t="n">
        <x:v>0.01919075456215518</x:v>
      </x:c>
      <x:c r="H262" s="40" t="n">
        <x:v>0.1477163817121252</x:v>
      </x:c>
    </x:row>
    <x:row r="263">
      <x:c r="A263" t="n">
        <x:v>214</x:v>
      </x:c>
      <x:c r="B263" s="40" t="n">
        <x:v>0.08392386708020841</x:v>
      </x:c>
      <x:c r="C263" s="40" t="n">
        <x:v>0.10965467870842265</x:v>
      </x:c>
      <x:c r="D263" s="40" t="n">
        <x:v>0.5879368001961075</x:v>
      </x:c>
      <x:c r="E263" s="40" t="n">
        <x:v>0.08323765290229707</x:v>
      </x:c>
      <x:c r="F263" s="40" t="n">
        <x:v>0.37202457432848873</x:v>
      </x:c>
      <x:c r="G263" s="40" t="n">
        <x:v>0.41026822218593517</x:v>
      </x:c>
      <x:c r="H263" s="40" t="n">
        <x:v>0.010751340231986678</x:v>
      </x:c>
    </x:row>
    <x:row r="264">
      <x:c r="A264" t="n">
        <x:v>215</x:v>
      </x:c>
      <x:c r="B264" s="40" t="n">
        <x:v>0.07684134900445738</x:v>
      </x:c>
      <x:c r="C264" s="40" t="n">
        <x:v>0.07314517334844779</x:v>
      </x:c>
      <x:c r="D264" s="40" t="n">
        <x:v>0.7845699206594203</x:v>
      </x:c>
      <x:c r="E264" s="40" t="n">
        <x:v>0.11376609114177072</x:v>
      </x:c>
      <x:c r="F264" s="40" t="n">
        <x:v>0.08605118819236358</x:v>
      </x:c>
      <x:c r="G264" s="40" t="n">
        <x:v>0.004475729157522741</x:v>
      </x:c>
      <x:c r="H264" s="40" t="n">
        <x:v>0.37591276288586395</x:v>
      </x:c>
    </x:row>
    <x:row r="265">
      <x:c r="A265" t="n">
        <x:v>216</x:v>
      </x:c>
      <x:c r="B265" s="40" t="n">
        <x:v>0.08885548114955172</x:v>
      </x:c>
      <x:c r="C265" s="40" t="n">
        <x:v>0.10325234689936928</x:v>
      </x:c>
      <x:c r="D265" s="40" t="n">
        <x:v>0.6721555207199799</x:v>
      </x:c>
      <x:c r="E265" s="40" t="n">
        <x:v>0.22712215311318393</x:v>
      </x:c>
      <x:c r="F265" s="40" t="n">
        <x:v>0.18817601725150795</x:v>
      </x:c>
      <x:c r="G265" s="40" t="n">
        <x:v>0.057641013216609624</x:v>
      </x:c>
      <x:c r="H265" s="40" t="n">
        <x:v>0.1512642563076775</x:v>
      </x:c>
    </x:row>
    <x:row r="266">
      <x:c r="A266" t="n">
        <x:v>217</x:v>
      </x:c>
      <x:c r="B266" s="40" t="n">
        <x:v>0.06597607520427845</x:v>
      </x:c>
      <x:c r="C266" s="40" t="n">
        <x:v>0.05094434967924347</x:v>
      </x:c>
      <x:c r="D266" s="40" t="n">
        <x:v>0.9131970344767616</x:v>
      </x:c>
      <x:c r="E266" s="40" t="n">
        <x:v>0.00007836614417894717</x:v>
      </x:c>
      <x:c r="F266" s="40" t="n">
        <x:v>0.052120947322553075</x:v>
      </x:c>
      <x:c r="G266" s="40" t="n">
        <x:v>0.16232893060987874</x:v>
      </x:c>
      <x:c r="H266" s="40" t="n">
        <x:v>0.29096873878094043</x:v>
      </x:c>
    </x:row>
    <x:row r="267">
      <x:c r="A267" t="n">
        <x:v>218</x:v>
      </x:c>
      <x:c r="B267" s="40" t="n">
        <x:v>0.07854837289285653</x:v>
      </x:c>
      <x:c r="C267" s="40" t="n">
        <x:v>0.09746550034103521</x:v>
      </x:c>
      <x:c r="D267" s="40" t="n">
        <x:v>0.6063122492803766</x:v>
      </x:c>
      <x:c r="E267" s="40" t="n">
        <x:v>0.11906195812776368</x:v>
      </x:c>
      <x:c r="F267" s="40" t="n">
        <x:v>0.258175622283217</x:v>
      </x:c>
      <x:c r="G267" s="40" t="n">
        <x:v>0.14695318574265906</x:v>
      </x:c>
      <x:c r="H267" s="40" t="n">
        <x:v>0.16869705354080838</x:v>
      </x:c>
    </x:row>
    <x:row r="268">
      <x:c r="A268" t="n">
        <x:v>219</x:v>
      </x:c>
      <x:c r="B268" s="40" t="n">
        <x:v>0.08658141404754338</x:v>
      </x:c>
      <x:c r="C268" s="40" t="n">
        <x:v>0.11754252701618452</x:v>
      </x:c>
      <x:c r="D268" s="40" t="n">
        <x:v>0.5710917537484487</x:v>
      </x:c>
      <x:c r="E268" s="40" t="n">
        <x:v>0.49784173416523575</x:v>
      </x:c>
      <x:c r="F268" s="40" t="n">
        <x:v>0.06950871164856813</x:v>
      </x:c>
      <x:c r="G268" s="40" t="n">
        <x:v>0.014006124435000872</x:v>
      </x:c>
      <x:c r="H268" s="40" t="n">
        <x:v>0.32667003124469185</x:v>
      </x:c>
    </x:row>
    <x:row r="269">
      <x:c r="A269" t="n">
        <x:v>220</x:v>
      </x:c>
      <x:c r="B269" s="40" t="n">
        <x:v>0.07318942944070594</x:v>
      </x:c>
      <x:c r="C269" s="40" t="n">
        <x:v>0.0778120652682321</x:v>
      </x:c>
      <x:c r="D269" s="40" t="n">
        <x:v>0.6905816354009321</x:v>
      </x:c>
      <x:c r="E269" s="40" t="n">
        <x:v>0.2942772511059048</x:v>
      </x:c>
      <x:c r="F269" s="40" t="n">
        <x:v>0.051054129116286595</x:v>
      </x:c>
      <x:c r="G269" s="40" t="n">
        <x:v>0.1314289726396255</x:v>
      </x:c>
      <x:c r="H269" s="40" t="n">
        <x:v>0.2576988826718546</x:v>
      </x:c>
    </x:row>
    <x:row r="270">
      <x:c r="A270" t="n">
        <x:v>221</x:v>
      </x:c>
      <x:c r="B270" s="40" t="n">
        <x:v>0.08023468911075765</x:v>
      </x:c>
      <x:c r="C270" s="40" t="n">
        <x:v>0.1069725913104505</x:v>
      </x:c>
      <x:c r="D270" s="40" t="n">
        <x:v>0.5681908067508281</x:v>
      </x:c>
      <x:c r="E270" s="40" t="n">
        <x:v>0.5437021759815042</x:v>
      </x:c>
      <x:c r="F270" s="40" t="n">
        <x:v>0.0055001654645416365</x:v>
      </x:c>
      <x:c r="G270" s="40" t="n">
        <x:v>0.08185493772064487</x:v>
      </x:c>
      <x:c r="H270" s="40" t="n">
        <x:v>0.22410209743096643</x:v>
      </x:c>
    </x:row>
    <x:row r="271">
      <x:c r="A271" t="n">
        <x:v>222</x:v>
      </x:c>
      <x:c r="B271" s="40" t="n">
        <x:v>0.09106660668619021</x:v>
      </x:c>
      <x:c r="C271" s="40" t="n">
        <x:v>0.12440016551162718</x:v>
      </x:c>
      <x:c r="D271" s="40" t="n">
        <x:v>0.5756645116814632</x:v>
      </x:c>
      <x:c r="E271" s="40" t="n">
        <x:v>0.029186211346551232</x:v>
      </x:c>
      <x:c r="F271" s="40" t="n">
        <x:v>0.4059227587010112</x:v>
      </x:c>
      <x:c r="G271" s="40" t="n">
        <x:v>0.19619856200836383</x:v>
      </x:c>
      <x:c r="H271" s="40" t="n">
        <x:v>0.20043255806511845</x:v>
      </x:c>
    </x:row>
    <x:row r="272">
      <x:c r="A272" t="n">
        <x:v>223</x:v>
      </x:c>
      <x:c r="B272" s="40" t="n">
        <x:v>0.09239278515744423</x:v>
      </x:c>
      <x:c r="C272" s="40" t="n">
        <x:v>0.12393869365054463</x:v>
      </x:c>
      <x:c r="D272" s="40" t="n">
        <x:v>0.5885082120459929</x:v>
      </x:c>
      <x:c r="E272" s="40" t="n">
        <x:v>0.07570432714947986</x:v>
      </x:c>
      <x:c r="F272" s="40" t="n">
        <x:v>0.36326732917232457</x:v>
      </x:c>
      <x:c r="G272" s="40" t="n">
        <x:v>0.03828068766890791</x:v>
      </x:c>
      <x:c r="H272" s="40" t="n">
        <x:v>0.09655403753419055</x:v>
      </x:c>
    </x:row>
    <x:row r="273">
      <x:c r="A273" t="n">
        <x:v>224</x:v>
      </x:c>
      <x:c r="B273" s="40" t="n">
        <x:v>0.08817715989210917</x:v>
      </x:c>
      <x:c r="C273" s="40" t="n">
        <x:v>0.12131319024585772</x:v>
      </x:c>
      <x:c r="D273" s="40" t="n">
        <x:v>0.5664949837605116</x:v>
      </x:c>
      <x:c r="E273" s="40" t="n">
        <x:v>0.47708472637523414</x:v>
      </x:c>
      <x:c r="F273" s="40" t="n">
        <x:v>0.1296798702480215</x:v>
      </x:c>
      <x:c r="G273" s="40" t="n">
        <x:v>0.08622457114835595</x:v>
      </x:c>
      <x:c r="H273" s="40" t="n">
        <x:v>0.2292428759536461</x:v>
      </x:c>
    </x:row>
    <x:row r="274">
      <x:c r="A274" t="n">
        <x:v>225</x:v>
      </x:c>
      <x:c r="B274" s="40" t="n">
        <x:v>0.08188823230316786</x:v>
      </x:c>
      <x:c r="C274" s="40" t="n">
        <x:v>0.10461841834840648</x:v>
      </x:c>
      <x:c r="D274" s="40" t="n">
        <x:v>0.5967819733366547</x:v>
      </x:c>
      <x:c r="E274" s="40" t="n">
        <x:v>0.16975361914144235</x:v>
      </x:c>
      <x:c r="F274" s="40" t="n">
        <x:v>0.23531926250252572</x:v>
      </x:c>
      <x:c r="G274" s="40" t="n">
        <x:v>0.0136077049475104</x:v>
      </x:c>
      <x:c r="H274" s="40" t="n">
        <x:v>0.05477438704521512</x:v>
      </x:c>
    </x:row>
    <x:row r="275">
      <x:c r="A275" t="n">
        <x:v>226</x:v>
      </x:c>
      <x:c r="B275" s="40" t="n">
        <x:v>0.10561916070531174</x:v>
      </x:c>
      <x:c r="C275" s="40" t="n">
        <x:v>0.12329046219847219</x:v>
      </x:c>
      <x:c r="D275" s="40" t="n">
        <x:v>0.6988806191086965</x:v>
      </x:c>
      <x:c r="E275" s="40" t="n">
        <x:v>0.02357816208164627</x:v>
      </x:c>
      <x:c r="F275" s="40" t="n">
        <x:v>0.16374959743203304</x:v>
      </x:c>
      <x:c r="G275" s="40" t="n">
        <x:v>0.08167290704218905</x:v>
      </x:c>
      <x:c r="H275" s="40" t="n">
        <x:v>0.10771036225059874</x:v>
      </x:c>
    </x:row>
    <x:row r="276">
      <x:c r="A276" t="n">
        <x:v>227</x:v>
      </x:c>
      <x:c r="B276" s="40" t="n">
        <x:v>0.09000315318124356</x:v>
      </x:c>
      <x:c r="C276" s="40" t="n">
        <x:v>0.13430698842418598</x:v>
      </x:c>
      <x:c r="D276" s="40" t="n">
        <x:v>0.5252839621761104</x:v>
      </x:c>
      <x:c r="E276" s="40" t="n">
        <x:v>0.3943396773550764</x:v>
      </x:c>
      <x:c r="F276" s="40" t="n">
        <x:v>0.2725590762236564</x:v>
      </x:c>
      <x:c r="G276" s="40" t="n">
        <x:v>0.13933635561661648</x:v>
      </x:c>
      <x:c r="H276" s="40" t="n">
        <x:v>0.09908228612984955</x:v>
      </x:c>
    </x:row>
    <x:row r="277">
      <x:c r="A277" t="n">
        <x:v>228</x:v>
      </x:c>
      <x:c r="B277" s="40" t="n">
        <x:v>0.0755989195929202</x:v>
      </x:c>
      <x:c r="C277" s="40" t="n">
        <x:v>0.07010288895864697</x:v>
      </x:c>
      <x:c r="D277" s="40" t="n">
        <x:v>0.8008952879558714</x:v>
      </x:c>
      <x:c r="E277" s="40" t="n">
        <x:v>0.020862209146007386</x:v>
      </x:c>
      <x:c r="F277" s="40" t="n">
        <x:v>0.15270776364776126</x:v>
      </x:c>
      <x:c r="G277" s="40" t="n">
        <x:v>0.15922497948630748</x:v>
      </x:c>
      <x:c r="H277" s="40" t="n">
        <x:v>0.2103911767118884</x:v>
      </x:c>
    </x:row>
    <x:row r="278">
      <x:c r="A278" t="n">
        <x:v>229</x:v>
      </x:c>
      <x:c r="B278" s="40" t="n">
        <x:v>0.08691019023620199</x:v>
      </x:c>
      <x:c r="C278" s="40" t="n">
        <x:v>0.09778881007082388</x:v>
      </x:c>
      <x:c r="D278" s="40" t="n">
        <x:v>0.6898165959223795</x:v>
      </x:c>
      <x:c r="E278" s="40" t="n">
        <x:v>0.149993287321667</x:v>
      </x:c>
      <x:c r="F278" s="40" t="n">
        <x:v>0.17270304571980563</x:v>
      </x:c>
      <x:c r="G278" s="40" t="n">
        <x:v>0.03168198405237381</x:v>
      </x:c>
      <x:c r="H278" s="40" t="n">
        <x:v>0.40068399921995246</x:v>
      </x:c>
    </x:row>
    <x:row r="279">
      <x:c r="A279" t="n">
        <x:v>230</x:v>
      </x:c>
      <x:c r="B279" s="40" t="n">
        <x:v>0.07941471736504377</x:v>
      </x:c>
      <x:c r="C279" s="40" t="n">
        <x:v>0.07599180435873619</x:v>
      </x:c>
      <x:c r="D279" s="40" t="n">
        <x:v>0.7890439201593241</x:v>
      </x:c>
      <x:c r="E279" s="40" t="n">
        <x:v>0.12487834762045098</x:v>
      </x:c>
      <x:c r="F279" s="40" t="n">
        <x:v>0.06338002187487804</x:v>
      </x:c>
      <x:c r="G279" s="40" t="n">
        <x:v>0.023168194268945477</x:v>
      </x:c>
      <x:c r="H279" s="40" t="n">
        <x:v>0.46560014829561075</x:v>
      </x:c>
    </x:row>
    <x:row r="280">
      <x:c r="A280" t="n">
        <x:v>231</x:v>
      </x:c>
      <x:c r="B280" s="40" t="n">
        <x:v>0.06902926039349493</x:v>
      </x:c>
      <x:c r="C280" s="40" t="n">
        <x:v>0.07717515473879452</x:v>
      </x:c>
      <x:c r="D280" s="40" t="n">
        <x:v>0.642375313757915</x:v>
      </x:c>
      <x:c r="E280" s="40" t="n">
        <x:v>0.02026190494933086</x:v>
      </x:c>
      <x:c r="F280" s="40" t="n">
        <x:v>0.22229868747035192</x:v>
      </x:c>
      <x:c r="G280" s="40" t="n">
        <x:v>0.19101661782722046</x:v>
      </x:c>
      <x:c r="H280" s="40" t="n">
        <x:v>0.10670177385296072</x:v>
      </x:c>
    </x:row>
    <x:row r="281">
      <x:c r="A281" t="n">
        <x:v>232</x:v>
      </x:c>
      <x:c r="B281" s="40" t="n">
        <x:v>0.07548355621978091</x:v>
      </x:c>
      <x:c r="C281" s="40" t="n">
        <x:v>0.11371565237690953</x:v>
      </x:c>
      <x:c r="D281" s="40" t="n">
        <x:v>0.49271765930889416</x:v>
      </x:c>
      <x:c r="E281" s="40" t="n">
        <x:v>0.028122694571783385</x:v>
      </x:c>
      <x:c r="F281" s="40" t="n">
        <x:v>0.3422836441113763</x:v>
      </x:c>
      <x:c r="G281" s="40" t="n">
        <x:v>0.04394235066875579</x:v>
      </x:c>
      <x:c r="H281" s="40" t="n">
        <x:v>0.04032173942856847</x:v>
      </x:c>
    </x:row>
    <x:row r="282">
      <x:c r="A282" t="n">
        <x:v>233</x:v>
      </x:c>
      <x:c r="B282" s="40" t="n">
        <x:v>0.06429634222086855</x:v>
      </x:c>
      <x:c r="C282" s="40" t="n">
        <x:v>0.061112980752686535</x:v>
      </x:c>
      <x:c r="D282" s="40" t="n">
        <x:v>0.7337638504083458</x:v>
      </x:c>
      <x:c r="E282" s="40" t="n">
        <x:v>0.10963397192716048</x:v>
      </x:c>
      <x:c r="F282" s="40" t="n">
        <x:v>0.064661758369768</x:v>
      </x:c>
      <x:c r="G282" s="40" t="n">
        <x:v>0.42734533871134966</x:v>
      </x:c>
      <x:c r="H282" s="40" t="n">
        <x:v>0.28525367613022096</x:v>
      </x:c>
    </x:row>
    <x:row r="283">
      <x:c r="A283" t="n">
        <x:v>234</x:v>
      </x:c>
      <x:c r="B283" s="40" t="n">
        <x:v>0.08963660273056168</x:v>
      </x:c>
      <x:c r="C283" s="40" t="n">
        <x:v>0.12676438038860618</x:v>
      </x:c>
      <x:c r="D283" s="40" t="n">
        <x:v>0.5536472971473908</x:v>
      </x:c>
      <x:c r="E283" s="40" t="n">
        <x:v>0.6102780828891853</x:v>
      </x:c>
      <x:c r="F283" s="40" t="n">
        <x:v>0.03221959571751657</x:v>
      </x:c>
      <x:c r="G283" s="40" t="n">
        <x:v>0.012230302907155958</x:v>
      </x:c>
      <x:c r="H283" s="40" t="n">
        <x:v>0.240763513500964</x:v>
      </x:c>
    </x:row>
    <x:row r="284">
      <x:c r="A284" t="n">
        <x:v>235</x:v>
      </x:c>
      <x:c r="B284" s="40" t="n">
        <x:v>0.09209918793368634</x:v>
      </x:c>
      <x:c r="C284" s="40" t="n">
        <x:v>0.13594744352345853</x:v>
      </x:c>
      <x:c r="D284" s="40" t="n">
        <x:v>0.5343634267554638</x:v>
      </x:c>
      <x:c r="E284" s="40" t="n">
        <x:v>0.051244225795778205</x:v>
      </x:c>
      <x:c r="F284" s="40" t="n">
        <x:v>0.47003550092338653</x:v>
      </x:c>
      <x:c r="G284" s="40" t="n">
        <x:v>0.23050143863548356</x:v>
      </x:c>
      <x:c r="H284" s="40" t="n">
        <x:v>0.05746173888434911</x:v>
      </x:c>
    </x:row>
    <x:row r="285">
      <x:c r="A285" t="n">
        <x:v>236</x:v>
      </x:c>
      <x:c r="B285" s="40" t="n">
        <x:v>0.09552653415117854</x:v>
      </x:c>
      <x:c r="C285" s="40" t="n">
        <x:v>0.15809913504358541</x:v>
      </x:c>
      <x:c r="D285" s="40" t="n">
        <x:v>0.4811708044851754</x:v>
      </x:c>
      <x:c r="E285" s="40" t="n">
        <x:v>0.10009079844334101</x:v>
      </x:c>
      <x:c r="F285" s="40" t="n">
        <x:v>0.5045563476920908</x:v>
      </x:c>
      <x:c r="G285" s="40" t="n">
        <x:v>0.035603011809293525</x:v>
      </x:c>
      <x:c r="H285" s="40" t="n">
        <x:v>0.09962367580406165</x:v>
      </x:c>
    </x:row>
    <x:row r="286">
      <x:c r="A286" t="n">
        <x:v>237</x:v>
      </x:c>
      <x:c r="B286" s="40" t="n">
        <x:v>0.07939250624558</x:v>
      </x:c>
      <x:c r="C286" s="40" t="n">
        <x:v>0.0820302559525205</x:v>
      </x:c>
      <x:c r="D286" s="40" t="n">
        <x:v>0.7306896631704602</x:v>
      </x:c>
      <x:c r="E286" s="40" t="n">
        <x:v>0.04860740670172591</x:v>
      </x:c>
      <x:c r="F286" s="40" t="n">
        <x:v>0.0768094747922865</x:v>
      </x:c>
      <x:c r="G286" s="40" t="n">
        <x:v>0.418267279016873</x:v>
      </x:c>
      <x:c r="H286" s="40" t="n">
        <x:v>0.07326791609609846</x:v>
      </x:c>
    </x:row>
    <x:row r="287">
      <x:c r="A287" t="n">
        <x:v>238</x:v>
      </x:c>
      <x:c r="B287" s="40" t="n">
        <x:v>0.09636314963399276</x:v>
      </x:c>
      <x:c r="C287" s="40" t="n">
        <x:v>0.16082527417100406</x:v>
      </x:c>
      <x:c r="D287" s="40" t="n">
        <x:v>0.4782165233455137</x:v>
      </x:c>
      <x:c r="E287" s="40" t="n">
        <x:v>0.2672214864816728</x:v>
      </x:c>
      <x:c r="F287" s="40" t="n">
        <x:v>0.4549609062558853</x:v>
      </x:c>
      <x:c r="G287" s="40" t="n">
        <x:v>0.1002061653384084</x:v>
      </x:c>
      <x:c r="H287" s="40" t="n">
        <x:v>0.019644563713885052</x:v>
      </x:c>
    </x:row>
    <x:row r="288">
      <x:c r="A288" t="n">
        <x:v>239</x:v>
      </x:c>
      <x:c r="B288" s="40" t="n">
        <x:v>0.08089485962980834</x:v>
      </x:c>
      <x:c r="C288" s="40" t="n">
        <x:v>0.0903883126690882</x:v>
      </x:c>
      <x:c r="D288" s="40" t="n">
        <x:v>0.6797451093140533</x:v>
      </x:c>
      <x:c r="E288" s="40" t="n">
        <x:v>0.15337249636359496</x:v>
      </x:c>
      <x:c r="F288" s="40" t="n">
        <x:v>0.16956072661077606</x:v>
      </x:c>
      <x:c r="G288" s="40" t="n">
        <x:v>0.000759126276361068</x:v>
      </x:c>
      <x:c r="H288" s="40" t="n">
        <x:v>0.12828831312589886</x:v>
      </x:c>
    </x:row>
    <x:row r="289">
      <x:c r="A289" t="n">
        <x:v>240</x:v>
      </x:c>
      <x:c r="B289" s="40" t="n">
        <x:v>0.06215789778992889</x:v>
      </x:c>
      <x:c r="C289" s="40" t="n">
        <x:v>0.057581480648459415</x:v>
      </x:c>
      <x:c r="D289" s="40" t="n">
        <x:v>0.7416282310765011</x:v>
      </x:c>
      <x:c r="E289" s="40" t="n">
        <x:v>0.0822619284297219</x:v>
      </x:c>
      <x:c r="F289" s="40" t="n">
        <x:v>0.10080237780812407</x:v>
      </x:c>
      <x:c r="G289" s="40" t="n">
        <x:v>0.2186796127712157</x:v>
      </x:c>
      <x:c r="H289" s="40" t="n">
        <x:v>0.1379733163491924</x:v>
      </x:c>
    </x:row>
    <x:row r="290">
      <x:c r="A290" t="n">
        <x:v>241</x:v>
      </x:c>
      <x:c r="B290" s="40" t="n">
        <x:v>0.08081126705545885</x:v>
      </x:c>
      <x:c r="C290" s="40" t="n">
        <x:v>0.07261374666019985</x:v>
      </x:c>
      <x:c r="D290" s="40" t="n">
        <x:v>0.8449835426994042</x:v>
      </x:c>
      <x:c r="E290" s="40" t="n">
        <x:v>0.048321567024299635</x:v>
      </x:c>
      <x:c r="F290" s="40" t="n">
        <x:v>0.09117926918290599</x:v>
      </x:c>
      <x:c r="G290" s="40" t="n">
        <x:v>0.04359597051624787</x:v>
      </x:c>
      <x:c r="H290" s="40" t="n">
        <x:v>0.2362803766303226</x:v>
      </x:c>
    </x:row>
    <x:row r="291">
      <x:c r="A291" t="n">
        <x:v>242</x:v>
      </x:c>
      <x:c r="B291" s="40" t="n">
        <x:v>0.07158214857985346</x:v>
      </x:c>
      <x:c r="C291" s="40" t="n">
        <x:v>0.06810966121990784</x:v>
      </x:c>
      <x:c r="D291" s="40" t="n">
        <x:v>0.7653584160064896</x:v>
      </x:c>
      <x:c r="E291" s="40" t="n">
        <x:v>0.02358626328510158</x:v>
      </x:c>
      <x:c r="F291" s="40" t="n">
        <x:v>0.15430425691204327</x:v>
      </x:c>
      <x:c r="G291" s="40" t="n">
        <x:v>0.30749562891201987</x:v>
      </x:c>
      <x:c r="H291" s="40" t="n">
        <x:v>0.24870864003853965</x:v>
      </x:c>
    </x:row>
    <x:row r="292">
      <x:c r="A292" t="n">
        <x:v>243</x:v>
      </x:c>
      <x:c r="B292" s="40" t="n">
        <x:v>0.07159602876823694</x:v>
      </x:c>
      <x:c r="C292" s="40" t="n">
        <x:v>0.06260724260616458</x:v>
      </x:c>
      <x:c r="D292" s="40" t="n">
        <x:v>0.8328458568666725</x:v>
      </x:c>
      <x:c r="E292" s="40" t="n">
        <x:v>0.16602855795908875</x:v>
      </x:c>
      <x:c r="F292" s="40" t="n">
        <x:v>0.07808891015508711</x:v>
      </x:c>
      <x:c r="G292" s="40" t="n">
        <x:v>0.31118723966283457</x:v>
      </x:c>
      <x:c r="H292" s="40" t="n">
        <x:v>0.07065261973822748</x:v>
      </x:c>
    </x:row>
    <x:row r="293">
      <x:c r="A293" t="n">
        <x:v>244</x:v>
      </x:c>
      <x:c r="B293" s="40" t="n">
        <x:v>0.09565036420720818</x:v>
      </x:c>
      <x:c r="C293" s="40" t="n">
        <x:v>0.12873979402745558</x:v>
      </x:c>
      <x:c r="D293" s="40" t="n">
        <x:v>0.5918645328662872</x:v>
      </x:c>
      <x:c r="E293" s="40" t="n">
        <x:v>0.23258609838060465</x:v>
      </x:c>
      <x:c r="F293" s="40" t="n">
        <x:v>0.30961185506589295</x:v>
      </x:c>
      <x:c r="G293" s="40" t="n">
        <x:v>0.08892181852058002</x:v>
      </x:c>
      <x:c r="H293" s="40" t="n">
        <x:v>0.14969679157525953</x:v>
      </x:c>
    </x:row>
    <x:row r="294">
      <x:c r="A294" t="n">
        <x:v>245</x:v>
      </x:c>
      <x:c r="B294" s="40" t="n">
        <x:v>0.07455657756975331</x:v>
      </x:c>
      <x:c r="C294" s="40" t="n">
        <x:v>0.07470738906616527</x:v>
      </x:c>
      <x:c r="D294" s="40" t="n">
        <x:v>0.737580741405712</x:v>
      </x:c>
      <x:c r="E294" s="40" t="n">
        <x:v>0.27130451104261316</x:v>
      </x:c>
      <x:c r="F294" s="40" t="n">
        <x:v>0.04918172850932061</x:v>
      </x:c>
      <x:c r="G294" s="40" t="n">
        <x:v>0.2949420657294131</x:v>
      </x:c>
      <x:c r="H294" s="40" t="n">
        <x:v>0.2372896879356249</x:v>
      </x:c>
    </x:row>
    <x:row r="295">
      <x:c r="A295" t="n">
        <x:v>246</x:v>
      </x:c>
      <x:c r="B295" s="40" t="n">
        <x:v>0.08119884298073476</x:v>
      </x:c>
      <x:c r="C295" s="40" t="n">
        <x:v>0.07468790944677092</x:v>
      </x:c>
      <x:c r="D295" s="40" t="n">
        <x:v>0.826706722470167</x:v>
      </x:c>
      <x:c r="E295" s="40" t="n">
        <x:v>0.05608363303578635</x:v>
      </x:c>
      <x:c r="F295" s="40" t="n">
        <x:v>0.11812793499301319</x:v>
      </x:c>
      <x:c r="G295" s="40" t="n">
        <x:v>0.06068216431750224</x:v>
      </x:c>
      <x:c r="H295" s="40" t="n">
        <x:v>0.15690998125455438</x:v>
      </x:c>
    </x:row>
    <x:row r="296">
      <x:c r="A296" t="n">
        <x:v>247</x:v>
      </x:c>
      <x:c r="B296" s="40" t="n">
        <x:v>0.09373007127695093</x:v>
      </x:c>
      <x:c r="C296" s="40" t="n">
        <x:v>0.09988241868927321</x:v>
      </x:c>
      <x:c r="D296" s="40" t="n">
        <x:v>0.7436366289263839</x:v>
      </x:c>
      <x:c r="E296" s="40" t="n">
        <x:v>0.16231261331877966</x:v>
      </x:c>
      <x:c r="F296" s="40" t="n">
        <x:v>0.06404918322942466</x:v>
      </x:c>
      <x:c r="G296" s="40" t="n">
        <x:v>0.04336971298021178</x:v>
      </x:c>
      <x:c r="H296" s="40" t="n">
        <x:v>0.36046271781945377</x:v>
      </x:c>
    </x:row>
    <x:row r="297">
      <x:c r="A297" t="n">
        <x:v>248</x:v>
      </x:c>
      <x:c r="B297" s="40" t="n">
        <x:v>0.08152160094963945</x:v>
      </x:c>
      <x:c r="C297" s="40" t="n">
        <x:v>0.10481484019177213</x:v>
      </x:c>
      <x:c r="D297" s="40" t="n">
        <x:v>0.592165715105155</x:v>
      </x:c>
      <x:c r="E297" s="40" t="n">
        <x:v>0.22887521403897096</x:v>
      </x:c>
      <x:c r="F297" s="40" t="n">
        <x:v>0.20548194548452645</x:v>
      </x:c>
      <x:c r="G297" s="40" t="n">
        <x:v>0.02677511530550331</x:v>
      </x:c>
      <x:c r="H297" s="40" t="n">
        <x:v>0.1784352607889382</x:v>
      </x:c>
    </x:row>
    <x:row r="298">
      <x:c r="A298" t="n">
        <x:v>249</x:v>
      </x:c>
      <x:c r="B298" s="40" t="n">
        <x:v>0.06203240619508681</x:v>
      </x:c>
      <x:c r="C298" s="40" t="n">
        <x:v>0.06627265781216296</x:v>
      </x:c>
      <x:c r="D298" s="40" t="n">
        <x:v>0.642475516251685</x:v>
      </x:c>
      <x:c r="E298" s="40" t="n">
        <x:v>0.3398029567351778</x:v>
      </x:c>
      <x:c r="F298" s="40" t="n">
        <x:v>0.0045878750992071815</x:v>
      </x:c>
      <x:c r="G298" s="40" t="n">
        <x:v>0.5928301633980011</x:v>
      </x:c>
      <x:c r="H298" s="40" t="n">
        <x:v>0.028897409913786202</x:v>
      </x:c>
    </x:row>
    <x:row r="299">
      <x:c r="A299" t="n">
        <x:v>250</x:v>
      </x:c>
      <x:c r="B299" s="40" t="n">
        <x:v>0.08335829221772684</x:v>
      </x:c>
      <x:c r="C299" s="40" t="n">
        <x:v>0.08403865174741837</x:v>
      </x:c>
      <x:c r="D299" s="40" t="n">
        <x:v>0.760417316735972</x:v>
      </x:c>
      <x:c r="E299" s="40" t="n">
        <x:v>0.03973003863017116</x:v>
      </x:c>
      <x:c r="F299" s="40" t="n">
        <x:v>0.131287659111925</x:v>
      </x:c>
      <x:c r="G299" s="40" t="n">
        <x:v>0.06305300859385858</x:v>
      </x:c>
      <x:c r="H299" s="40" t="n">
        <x:v>0.4562503253208271</x:v>
      </x:c>
    </x:row>
    <x:row r="300">
      <x:c r="A300" t="n">
        <x:v>251</x:v>
      </x:c>
      <x:c r="B300" s="40" t="n">
        <x:v>0.09064078800413665</x:v>
      </x:c>
      <x:c r="C300" s="40" t="n">
        <x:v>0.14315792185269452</x:v>
      </x:c>
      <x:c r="D300" s="40" t="n">
        <x:v>0.4972616319726956</x:v>
      </x:c>
      <x:c r="E300" s="40" t="n">
        <x:v>0.011737933632561214</x:v>
      </x:c>
      <x:c r="F300" s="40" t="n">
        <x:v>0.5125995948542523</x:v>
      </x:c>
      <x:c r="G300" s="40" t="n">
        <x:v>0.19458610574467003</x:v>
      </x:c>
      <x:c r="H300" s="40" t="n">
        <x:v>0.09162423190066153</x:v>
      </x:c>
    </x:row>
    <x:row r="301">
      <x:c r="A301" t="n">
        <x:v>252</x:v>
      </x:c>
      <x:c r="B301" s="40" t="n">
        <x:v>0.09350495819873304</x:v>
      </x:c>
      <x:c r="C301" s="40" t="n">
        <x:v>0.13913840498711744</x:v>
      </x:c>
      <x:c r="D301" s="40" t="n">
        <x:v>0.5322118796154314</x:v>
      </x:c>
      <x:c r="E301" s="40" t="n">
        <x:v>0.17718816967902365</x:v>
      </x:c>
      <x:c r="F301" s="40" t="n">
        <x:v>0.42314010515396416</x:v>
      </x:c>
      <x:c r="G301" s="40" t="n">
        <x:v>0.1934093682419767</x:v>
      </x:c>
      <x:c r="H301" s="40" t="n">
        <x:v>0.031308462746540505</x:v>
      </x:c>
    </x:row>
    <x:row r="302">
      <x:c r="A302" t="n">
        <x:v>253</x:v>
      </x:c>
      <x:c r="B302" s="40" t="n">
        <x:v>0.09727034910089061</x:v>
      </x:c>
      <x:c r="C302" s="40" t="n">
        <x:v>0.10524472934768644</x:v>
      </x:c>
      <x:c r="D302" s="40" t="n">
        <x:v>0.7393862232280525</x:v>
      </x:c>
      <x:c r="E302" s="40" t="n">
        <x:v>0.24876519333928404</x:v>
      </x:c>
      <x:c r="F302" s="40" t="n">
        <x:v>0.08286673136210664</x:v>
      </x:c>
      <x:c r="G302" s="40" t="n">
        <x:v>0.12362006411933717</x:v>
      </x:c>
      <x:c r="H302" s="40" t="n">
        <x:v>0.004313202767769592</x:v>
      </x:c>
    </x:row>
    <x:row r="303">
      <x:c r="A303" t="n">
        <x:v>254</x:v>
      </x:c>
      <x:c r="B303" s="40" t="n">
        <x:v>0.07633947734237138</x:v>
      </x:c>
      <x:c r="C303" s="40" t="n">
        <x:v>0.10542027960295872</x:v>
      </x:c>
      <x:c r="D303" s="40" t="n">
        <x:v>0.5396080469789295</x:v>
      </x:c>
      <x:c r="E303" s="40" t="n">
        <x:v>0.05885312528183145</x:v>
      </x:c>
      <x:c r="F303" s="40" t="n">
        <x:v>0.3860447000966111</x:v>
      </x:c>
      <x:c r="G303" s="40" t="n">
        <x:v>0.5015437929610662</x:v>
      </x:c>
      <x:c r="H303" s="40" t="n">
        <x:v>0.006281876171957276</x:v>
      </x:c>
    </x:row>
    <x:row r="304">
      <x:c r="A304" t="n">
        <x:v>255</x:v>
      </x:c>
      <x:c r="B304" s="40" t="n">
        <x:v>0.08329371586457268</x:v>
      </x:c>
      <x:c r="C304" s="40" t="n">
        <x:v>0.0813352771370897</x:v>
      </x:c>
      <x:c r="D304" s="40" t="n">
        <x:v>0.784897672422326</x:v>
      </x:c>
      <x:c r="E304" s="40" t="n">
        <x:v>0.14432440148309517</x:v>
      </x:c>
      <x:c r="F304" s="40" t="n">
        <x:v>0.1264398171019424</x:v>
      </x:c>
      <x:c r="G304" s="40" t="n">
        <x:v>0.10357780013550437</x:v>
      </x:c>
      <x:c r="H304" s="40" t="n">
        <x:v>0.10143240722018633</x:v>
      </x:c>
    </x:row>
    <x:row r="305">
      <x:c r="A305" t="n">
        <x:v>256</x:v>
      </x:c>
      <x:c r="B305" s="40" t="n">
        <x:v>0.0859082995397957</x:v>
      </x:c>
      <x:c r="C305" s="40" t="n">
        <x:v>0.10095878254148423</x:v>
      </x:c>
      <x:c r="D305" s="40" t="n">
        <x:v>0.6582335059225108</x:v>
      </x:c>
      <x:c r="E305" s="40" t="n">
        <x:v>0.07615995559096606</x:v>
      </x:c>
      <x:c r="F305" s="40" t="n">
        <x:v>0.30093603321217327</x:v>
      </x:c>
      <x:c r="G305" s="40" t="n">
        <x:v>0.22852287627718937</x:v>
      </x:c>
      <x:c r="H305" s="40" t="n">
        <x:v>0.00758905377801864</x:v>
      </x:c>
    </x:row>
    <x:row r="306">
      <x:c r="A306" t="n">
        <x:v>257</x:v>
      </x:c>
      <x:c r="B306" s="40" t="n">
        <x:v>0.07780266680326493</x:v>
      </x:c>
      <x:c r="C306" s="40" t="n">
        <x:v>0.08339253614341302</x:v>
      </x:c>
      <x:c r="D306" s="40" t="n">
        <x:v>0.699688765299982</x:v>
      </x:c>
      <x:c r="E306" s="40" t="n">
        <x:v>0.07286304280060214</x:v>
      </x:c>
      <x:c r="F306" s="40" t="n">
        <x:v>0.22733886934835038</x:v>
      </x:c>
      <x:c r="G306" s="40" t="n">
        <x:v>0.44213565894552453</x:v>
      </x:c>
      <x:c r="H306" s="40" t="n">
        <x:v>0.08065083067050716</x:v>
      </x:c>
    </x:row>
    <x:row r="307">
      <x:c r="A307" t="n">
        <x:v>258</x:v>
      </x:c>
      <x:c r="B307" s="40" t="n">
        <x:v>0.07763771965888776</x:v>
      </x:c>
      <x:c r="C307" s="40" t="n">
        <x:v>0.10416910139889597</x:v>
      </x:c>
      <x:c r="D307" s="40" t="n">
        <x:v>0.5585521303696133</x:v>
      </x:c>
      <x:c r="E307" s="40" t="n">
        <x:v>0.010661173273238062</x:v>
      </x:c>
      <x:c r="F307" s="40" t="n">
        <x:v>0.30712745224042554</x:v>
      </x:c>
      <x:c r="G307" s="40" t="n">
        <x:v>0.07538936700405202</x:v>
      </x:c>
      <x:c r="H307" s="40" t="n">
        <x:v>0.37165913109008136</x:v>
      </x:c>
    </x:row>
    <x:row r="308">
      <x:c r="A308" t="n">
        <x:v>259</x:v>
      </x:c>
      <x:c r="B308" s="40" t="n">
        <x:v>0.08501857773783593</x:v>
      </x:c>
      <x:c r="C308" s="40" t="n">
        <x:v>0.0976227504027101</x:v>
      </x:c>
      <x:c r="D308" s="40" t="n">
        <x:v>0.6716132388559464</x:v>
      </x:c>
      <x:c r="E308" s="40" t="n">
        <x:v>0.3870948638093998</x:v>
      </x:c>
      <x:c r="F308" s="40" t="n">
        <x:v>0.08946368878945687</x:v>
      </x:c>
      <x:c r="G308" s="40" t="n">
        <x:v>0.15679435187547916</x:v>
      </x:c>
      <x:c r="H308" s="40" t="n">
        <x:v>0.058546578198003255</x:v>
      </x:c>
    </x:row>
    <x:row r="309">
      <x:c r="A309" t="n">
        <x:v>260</x:v>
      </x:c>
      <x:c r="B309" s="40" t="n">
        <x:v>0.08908375178868805</x:v>
      </x:c>
      <x:c r="C309" s="40" t="n">
        <x:v>0.1393589423905733</x:v>
      </x:c>
      <x:c r="D309" s="40" t="n">
        <x:v>0.4996443316833889</x:v>
      </x:c>
      <x:c r="E309" s="40" t="n">
        <x:v>0.16146107903726226</x:v>
      </x:c>
      <x:c r="F309" s="40" t="n">
        <x:v>0.3975823893466003</x:v>
      </x:c>
      <x:c r="G309" s="40" t="n">
        <x:v>0.027769049110518727</x:v>
      </x:c>
      <x:c r="H309" s="40" t="n">
        <x:v>0.0254796676212776</x:v>
      </x:c>
    </x:row>
    <x:row r="310">
      <x:c r="A310" t="n">
        <x:v>261</x:v>
      </x:c>
      <x:c r="B310" s="40" t="n">
        <x:v>0.07586434249424176</x:v>
      </x:c>
      <x:c r="C310" s="40" t="n">
        <x:v>0.09229161613366012</x:v>
      </x:c>
      <x:c r="D310" s="40" t="n">
        <x:v>0.6112201595722394</x:v>
      </x:c>
      <x:c r="E310" s="40" t="n">
        <x:v>0.14297559419314565</x:v>
      </x:c>
      <x:c r="F310" s="40" t="n">
        <x:v>0.2531587783481044</x:v>
      </x:c>
      <x:c r="G310" s="40" t="n">
        <x:v>0.24931880958644534</x:v>
      </x:c>
      <x:c r="H310" s="40" t="n">
        <x:v>0.03331586467406137</x:v>
      </x:c>
    </x:row>
    <x:row r="311">
      <x:c r="A311" t="n">
        <x:v>262</x:v>
      </x:c>
      <x:c r="B311" s="40" t="n">
        <x:v>0.09453855225917523</x:v>
      </x:c>
      <x:c r="C311" s="40" t="n">
        <x:v>0.1361352532554339</x:v>
      </x:c>
      <x:c r="D311" s="40" t="n">
        <x:v>0.5515449107399522</x:v>
      </x:c>
      <x:c r="E311" s="40" t="n">
        <x:v>0.4094559868316043</x:v>
      </x:c>
      <x:c r="F311" s="40" t="n">
        <x:v>0.24717159089462395</x:v>
      </x:c>
      <x:c r="G311" s="40" t="n">
        <x:v>0.03877442708076587</x:v>
      </x:c>
      <x:c r="H311" s="40" t="n">
        <x:v>0.0008020758694325511</x:v>
      </x:c>
    </x:row>
    <x:row r="312">
      <x:c r="A312" t="n">
        <x:v>263</x:v>
      </x:c>
      <x:c r="B312" s="40" t="n">
        <x:v>0.08814423277539114</x:v>
      </x:c>
      <x:c r="C312" s="40" t="n">
        <x:v>0.09710183988810321</x:v>
      </x:c>
      <x:c r="D312" s="40" t="n">
        <x:v>0.7074056135362771</x:v>
      </x:c>
      <x:c r="E312" s="40" t="n">
        <x:v>0.07667182567241412</x:v>
      </x:c>
      <x:c r="F312" s="40" t="n">
        <x:v>0.24459915832018458</x:v>
      </x:c>
      <x:c r="G312" s="40" t="n">
        <x:v>0.1490530804635195</x:v>
      </x:c>
      <x:c r="H312" s="40" t="n">
        <x:v>0.09803355111677943</x:v>
      </x:c>
    </x:row>
    <x:row r="313">
      <x:c r="A313" t="n">
        <x:v>264</x:v>
      </x:c>
      <x:c r="B313" s="40" t="n">
        <x:v>0.09300091459382485</x:v>
      </x:c>
      <x:c r="C313" s="40" t="n">
        <x:v>0.1003392459538311</x:v>
      </x:c>
      <x:c r="D313" s="40" t="n">
        <x:v>0.7329840656149615</x:v>
      </x:c>
      <x:c r="E313" s="40" t="n">
        <x:v>0.17376587946347102</x:v>
      </x:c>
      <x:c r="F313" s="40" t="n">
        <x:v>0.08440705949639782</x:v>
      </x:c>
      <x:c r="G313" s="40" t="n">
        <x:v>0.260975690038894</x:v>
      </x:c>
      <x:c r="H313" s="40" t="n">
        <x:v>0.05795613727061156</x:v>
      </x:c>
    </x:row>
    <x:row r="314">
      <x:c r="A314" t="n">
        <x:v>265</x:v>
      </x:c>
      <x:c r="B314" s="40" t="n">
        <x:v>0.09700612919975823</x:v>
      </x:c>
      <x:c r="C314" s="40" t="n">
        <x:v>0.10737008100514528</x:v>
      </x:c>
      <x:c r="D314" s="40" t="n">
        <x:v>0.7222895085847584</x:v>
      </x:c>
      <x:c r="E314" s="40" t="n">
        <x:v>0.12414044143326425</x:v>
      </x:c>
      <x:c r="F314" s="40" t="n">
        <x:v>0.1791690171136744</x:v>
      </x:c>
      <x:c r="G314" s="40" t="n">
        <x:v>0.22782863703927314</x:v>
      </x:c>
      <x:c r="H314" s="40" t="n">
        <x:v>0.032488630608660043</x:v>
      </x:c>
    </x:row>
    <x:row r="315">
      <x:c r="A315" t="n">
        <x:v>266</x:v>
      </x:c>
      <x:c r="B315" s="40" t="n">
        <x:v>0.07690297545316654</x:v>
      </x:c>
      <x:c r="C315" s="40" t="n">
        <x:v>0.10549925068766408</x:v>
      </x:c>
      <x:c r="D315" s="40" t="n">
        <x:v>0.5445453775724102</x:v>
      </x:c>
      <x:c r="E315" s="40" t="n">
        <x:v>0.4156866045256216</x:v>
      </x:c>
      <x:c r="F315" s="40" t="n">
        <x:v>0.09619454918249667</x:v>
      </x:c>
      <x:c r="G315" s="40" t="n">
        <x:v>0.04251768810850314</x:v>
      </x:c>
      <x:c r="H315" s="40" t="n">
        <x:v>0.1162067284141332</x:v>
      </x:c>
    </x:row>
    <x:row r="316">
      <x:c r="A316" t="n">
        <x:v>267</x:v>
      </x:c>
      <x:c r="B316" s="40" t="n">
        <x:v>0.08437577858951721</x:v>
      </x:c>
      <x:c r="C316" s="40" t="n">
        <x:v>0.09776729975451912</x:v>
      </x:c>
      <x:c r="D316" s="40" t="n">
        <x:v>0.6640454691771331</x:v>
      </x:c>
      <x:c r="E316" s="40" t="n">
        <x:v>0.06544782398200269</x:v>
      </x:c>
      <x:c r="F316" s="40" t="n">
        <x:v>0.27947270947603087</x:v>
      </x:c>
      <x:c r="G316" s="40" t="n">
        <x:v>0.26249132150079185</x:v>
      </x:c>
      <x:c r="H316" s="40" t="n">
        <x:v>0.16430474451752958</x:v>
      </x:c>
    </x:row>
    <x:row r="317">
      <x:c r="A317" t="n">
        <x:v>268</x:v>
      </x:c>
      <x:c r="B317" s="40" t="n">
        <x:v>0.08060894258304327</x:v>
      </x:c>
      <x:c r="C317" s="40" t="n">
        <x:v>0.10041794512974199</x:v>
      </x:c>
      <x:c r="D317" s="40" t="n">
        <x:v>0.6090056548178068</x:v>
      </x:c>
      <x:c r="E317" s="40" t="n">
        <x:v>0.13758880392709918</x:v>
      </x:c>
      <x:c r="F317" s="40" t="n">
        <x:v>0.24286645093516054</x:v>
      </x:c>
      <x:c r="G317" s="40" t="n">
        <x:v>0.11239698098260045</x:v>
      </x:c>
      <x:c r="H317" s="40" t="n">
        <x:v>0.30344366041116777</x:v>
      </x:c>
    </x:row>
    <x:row r="318">
      <x:c r="A318" t="n">
        <x:v>269</x:v>
      </x:c>
      <x:c r="B318" s="40" t="n">
        <x:v>0.09838529436455201</x:v>
      </x:c>
      <x:c r="C318" s="40" t="n">
        <x:v>0.12801477322825497</x:v>
      </x:c>
      <x:c r="D318" s="40" t="n">
        <x:v>0.6165807759544145</x:v>
      </x:c>
      <x:c r="E318" s="40" t="n">
        <x:v>0.11290059936019856</x:v>
      </x:c>
      <x:c r="F318" s="40" t="n">
        <x:v>0.35042301327090664</x:v>
      </x:c>
      <x:c r="G318" s="40" t="n">
        <x:v>0.10804575765676433</x:v>
      </x:c>
      <x:c r="H318" s="40" t="n">
        <x:v>0.17255729277778745</x:v>
      </x:c>
    </x:row>
    <x:row r="319">
      <x:c r="A319" t="n">
        <x:v>270</x:v>
      </x:c>
      <x:c r="B319" s="40" t="n">
        <x:v>0.08049141450396012</x:v>
      </x:c>
      <x:c r="C319" s="40" t="n">
        <x:v>0.10063849155315725</x:v>
      </x:c>
      <x:c r="D319" s="40" t="n">
        <x:v>0.6065032117246503</x:v>
      </x:c>
      <x:c r="E319" s="40" t="n">
        <x:v>0.1090294519188087</x:v>
      </x:c>
      <x:c r="F319" s="40" t="n">
        <x:v>0.29979786993141466</x:v>
      </x:c>
      <x:c r="G319" s="40" t="n">
        <x:v>0.3237828669770631</x:v>
      </x:c>
      <x:c r="H319" s="40" t="n">
        <x:v>0.1604704564571092</x:v>
      </x:c>
    </x:row>
    <x:row r="320">
      <x:c r="A320" t="n">
        <x:v>271</x:v>
      </x:c>
      <x:c r="B320" s="40" t="n">
        <x:v>0.09075198784598909</x:v>
      </x:c>
      <x:c r="C320" s="40" t="n">
        <x:v>0.09585421534254895</x:v>
      </x:c>
      <x:c r="D320" s="40" t="n">
        <x:v>0.7438185314787532</x:v>
      </x:c>
      <x:c r="E320" s="40" t="n">
        <x:v>0.03780331166569618</x:v>
      </x:c>
      <x:c r="F320" s="40" t="n">
        <x:v>0.08646328743997353</x:v>
      </x:c>
      <x:c r="G320" s="40" t="n">
        <x:v>0.03880958840579659</x:v>
      </x:c>
      <x:c r="H320" s="40" t="n">
        <x:v>0.47131858346195654</x:v>
      </x:c>
    </x:row>
    <x:row r="321">
      <x:c r="A321" t="n">
        <x:v>272</x:v>
      </x:c>
      <x:c r="B321" s="40" t="n">
        <x:v>0.08949860426529489</x:v>
      </x:c>
      <x:c r="C321" s="40" t="n">
        <x:v>0.1213481121368846</x:v>
      </x:c>
      <x:c r="D321" s="40" t="n">
        <x:v>0.5772216549396004</x:v>
      </x:c>
      <x:c r="E321" s="40" t="n">
        <x:v>0.4072969514638161</x:v>
      </x:c>
      <x:c r="F321" s="40" t="n">
        <x:v>0.15041237441224392</x:v>
      </x:c>
      <x:c r="G321" s="40" t="n">
        <x:v>0.018035989628203866</x:v>
      </x:c>
      <x:c r="H321" s="40" t="n">
        <x:v>0.34301779983505953</x:v>
      </x:c>
    </x:row>
    <x:row r="322">
      <x:c r="A322" t="n">
        <x:v>273</x:v>
      </x:c>
      <x:c r="B322" s="40" t="n">
        <x:v>0.09712394528237137</x:v>
      </x:c>
      <x:c r="C322" s="40" t="n">
        <x:v>0.12901118166898942</x:v>
      </x:c>
      <x:c r="D322" s="40" t="n">
        <x:v>0.602041606965568</x:v>
      </x:c>
      <x:c r="E322" s="40" t="n">
        <x:v>0.06797888931422665</x:v>
      </x:c>
      <x:c r="F322" s="40" t="n">
        <x:v>0.38966417061504727</x:v>
      </x:c>
      <x:c r="G322" s="40" t="n">
        <x:v>0.09689015142893326</x:v>
      </x:c>
      <x:c r="H322" s="40" t="n">
        <x:v>0.06966911199940322</x:v>
      </x:c>
    </x:row>
    <x:row r="323">
      <x:c r="A323" t="n">
        <x:v>274</x:v>
      </x:c>
      <x:c r="B323" s="40" t="n">
        <x:v>0.058847958770556465</x:v>
      </x:c>
      <x:c r="C323" s="40" t="n">
        <x:v>0.05581787423758017</x:v>
      </x:c>
      <x:c r="D323" s="40" t="n">
        <x:v>0.705761606918876</x:v>
      </x:c>
      <x:c r="E323" s="40" t="n">
        <x:v>0.07775491351875889</x:v>
      </x:c>
      <x:c r="F323" s="40" t="n">
        <x:v>0.002269424271417762</x:v>
      </x:c>
      <x:c r="G323" s="40" t="n">
        <x:v>0.41626896732502455</x:v>
      </x:c>
      <x:c r="H323" s="40" t="n">
        <x:v>0.35833464640911905</x:v>
      </x:c>
    </x:row>
    <x:row r="324">
      <x:c r="A324" t="n">
        <x:v>275</x:v>
      </x:c>
      <x:c r="B324" s="40" t="n">
        <x:v>0.07834828345876682</x:v>
      </x:c>
      <x:c r="C324" s="40" t="n">
        <x:v>0.081221132256038</x:v>
      </x:c>
      <x:c r="D324" s="40" t="n">
        <x:v>0.7251122419626506</x:v>
      </x:c>
      <x:c r="E324" s="40" t="n">
        <x:v>0.0906393708592816</x:v>
      </x:c>
      <x:c r="F324" s="40" t="n">
        <x:v>0.028432494335064378</x:v>
      </x:c>
      <x:c r="G324" s="40" t="n">
        <x:v>0.3838533991394848</x:v>
      </x:c>
      <x:c r="H324" s="40" t="n">
        <x:v>0.16994770686544788</x:v>
      </x:c>
    </x:row>
    <x:row r="325">
      <x:c r="A325" t="n">
        <x:v>276</x:v>
      </x:c>
      <x:c r="B325" s="40" t="n">
        <x:v>0.08278269927296592</x:v>
      </x:c>
      <x:c r="C325" s="40" t="n">
        <x:v>0.09558760673263134</x:v>
      </x:c>
      <x:c r="D325" s="40" t="n">
        <x:v>0.6625215891873648</x:v>
      </x:c>
      <x:c r="E325" s="40" t="n">
        <x:v>0.20972092082436936</x:v>
      </x:c>
      <x:c r="F325" s="40" t="n">
        <x:v>0.20274906794692737</x:v>
      </x:c>
      <x:c r="G325" s="40" t="n">
        <x:v>0.27038628369223355</x:v>
      </x:c>
      <x:c r="H325" s="40" t="n">
        <x:v>0.1896954988459289</x:v>
      </x:c>
    </x:row>
    <x:row r="326">
      <x:c r="A326" t="n">
        <x:v>277</x:v>
      </x:c>
      <x:c r="B326" s="40" t="n">
        <x:v>0.07044028258063165</x:v>
      </x:c>
      <x:c r="C326" s="40" t="n">
        <x:v>0.08889608802246031</x:v>
      </x:c>
      <x:c r="D326" s="40" t="n">
        <x:v>0.5735509577643435</x:v>
      </x:c>
      <x:c r="E326" s="40" t="n">
        <x:v>0.2461559551776063</x:v>
      </x:c>
      <x:c r="F326" s="40" t="n">
        <x:v>0.12941446061073447</x:v>
      </x:c>
      <x:c r="G326" s="40" t="n">
        <x:v>0.07216453265171685</x:v>
      </x:c>
      <x:c r="H326" s="40" t="n">
        <x:v>0.019738269134431757</x:v>
      </x:c>
    </x:row>
    <x:row r="327">
      <x:c r="A327" t="n">
        <x:v>278</x:v>
      </x:c>
      <x:c r="B327" s="40" t="n">
        <x:v>0.08610091653531692</x:v>
      </x:c>
      <x:c r="C327" s="40" t="n">
        <x:v>0.12048956818964554</x:v>
      </x:c>
      <x:c r="D327" s="40" t="n">
        <x:v>0.5531356065329329</x:v>
      </x:c>
      <x:c r="E327" s="40" t="n">
        <x:v>0.17084591167821028</x:v>
      </x:c>
      <x:c r="F327" s="40" t="n">
        <x:v>0.33668197631822677</x:v>
      </x:c>
      <x:c r="G327" s="40" t="n">
        <x:v>0.1986574590620797</x:v>
      </x:c>
      <x:c r="H327" s="40" t="n">
        <x:v>0.21211116867033233</x:v>
      </x:c>
    </x:row>
    <x:row r="328">
      <x:c r="A328" t="n">
        <x:v>279</x:v>
      </x:c>
      <x:c r="B328" s="40" t="n">
        <x:v>0.08261028900575648</x:v>
      </x:c>
      <x:c r="C328" s="40" t="n">
        <x:v>0.07637987321909673</x:v>
      </x:c>
      <x:c r="D328" s="40" t="n">
        <x:v>0.8268728421523455</x:v>
      </x:c>
      <x:c r="E328" s="40" t="n">
        <x:v>0.07079305447053547</x:v>
      </x:c>
      <x:c r="F328" s="40" t="n">
        <x:v>0.021256666964198954</x:v>
      </x:c>
      <x:c r="G328" s="40" t="n">
        <x:v>0.11204688489333309</x:v>
      </x:c>
      <x:c r="H328" s="40" t="n">
        <x:v>0.20976741045074648</x:v>
      </x:c>
    </x:row>
    <x:row r="329">
      <x:c r="A329" t="n">
        <x:v>280</x:v>
      </x:c>
      <x:c r="B329" s="40" t="n">
        <x:v>0.07309936444652333</x:v>
      </x:c>
      <x:c r="C329" s="40" t="n">
        <x:v>0.0681665512427703</x:v>
      </x:c>
      <x:c r="D329" s="40" t="n">
        <x:v>0.7869771510314861</x:v>
      </x:c>
      <x:c r="E329" s="40" t="n">
        <x:v>0.09254025530895331</x:v>
      </x:c>
      <x:c r="F329" s="40" t="n">
        <x:v>0.0991065593640772</x:v>
      </x:c>
      <x:c r="G329" s="40" t="n">
        <x:v>0.175684252127524</x:v>
      </x:c>
      <x:c r="H329" s="40" t="n">
        <x:v>0.35982343886003015</x:v>
      </x:c>
    </x:row>
    <x:row r="330">
      <x:c r="A330" t="n">
        <x:v>281</x:v>
      </x:c>
      <x:c r="B330" s="40" t="n">
        <x:v>0.07068990443088642</x:v>
      </x:c>
      <x:c r="C330" s="40" t="n">
        <x:v>0.0673071782142733</x:v>
      </x:c>
      <x:c r="D330" s="40" t="n">
        <x:v>0.7612272514817007</x:v>
      </x:c>
      <x:c r="E330" s="40" t="n">
        <x:v>0.14079526406366524</x:v>
      </x:c>
      <x:c r="F330" s="40" t="n">
        <x:v>0.09078727533047429</x:v>
      </x:c>
      <x:c r="G330" s="40" t="n">
        <x:v>0.4439194691347896</x:v>
      </x:c>
      <x:c r="H330" s="40" t="n">
        <x:v>0.14993101256382957</x:v>
      </x:c>
    </x:row>
    <x:row r="331">
      <x:c r="A331" t="n">
        <x:v>282</x:v>
      </x:c>
      <x:c r="B331" s="40" t="n">
        <x:v>0.08522040307775988</x:v>
      </x:c>
      <x:c r="C331" s="40" t="n">
        <x:v>0.08250017506149261</x:v>
      </x:c>
      <x:c r="D331" s="40" t="n">
        <x:v>0.797168695398449</x:v>
      </x:c>
      <x:c r="E331" s="40" t="n">
        <x:v>0.2124476512602307</x:v>
      </x:c>
      <x:c r="F331" s="40" t="n">
        <x:v>0.0676657066891298</x:v>
      </x:c>
      <x:c r="G331" s="40" t="n">
        <x:v>0.1105778063800509</x:v>
      </x:c>
      <x:c r="H331" s="40" t="n">
        <x:v>0.08376858661101769</x:v>
      </x:c>
    </x:row>
    <x:row r="332">
      <x:c r="A332" t="n">
        <x:v>283</x:v>
      </x:c>
      <x:c r="B332" s="40" t="n">
        <x:v>0.09392321973289647</x:v>
      </x:c>
      <x:c r="C332" s="40" t="n">
        <x:v>0.1007952656936842</x:v>
      </x:c>
      <x:c r="D332" s="40" t="n">
        <x:v>0.7388181683588393</x:v>
      </x:c>
      <x:c r="E332" s="40" t="n">
        <x:v>0.17998255062393914</x:v>
      </x:c>
      <x:c r="F332" s="40" t="n">
        <x:v>0.08812598341586544</x:v>
      </x:c>
      <x:c r="G332" s="40" t="n">
        <x:v>0.17958116173695068</x:v>
      </x:c>
      <x:c r="H332" s="40" t="n">
        <x:v>0.1537161828778334</x:v>
      </x:c>
    </x:row>
    <x:row r="333">
      <x:c r="A333" t="n">
        <x:v>284</x:v>
      </x:c>
      <x:c r="B333" s="40" t="n">
        <x:v>0.08644316710288454</x:v>
      </x:c>
      <x:c r="C333" s="40" t="n">
        <x:v>0.09762285125731661</x:v>
      </x:c>
      <x:c r="D333" s="40" t="n">
        <x:v>0.6862053308857611</x:v>
      </x:c>
      <x:c r="E333" s="40" t="n">
        <x:v>0.1623567100094535</x:v>
      </x:c>
      <x:c r="F333" s="40" t="n">
        <x:v>0.19819180308349946</x:v>
      </x:c>
      <x:c r="G333" s="40" t="n">
        <x:v>0.11288368540150671</x:v>
      </x:c>
      <x:c r="H333" s="40" t="n">
        <x:v>0.2560703572937942</x:v>
      </x:c>
    </x:row>
    <x:row r="334">
      <x:c r="A334" t="n">
        <x:v>285</x:v>
      </x:c>
      <x:c r="B334" s="40" t="n">
        <x:v>0.07563463202678933</x:v>
      </x:c>
      <x:c r="C334" s="40" t="n">
        <x:v>0.10103455300394495</x:v>
      </x:c>
      <x:c r="D334" s="40" t="n">
        <x:v>0.5560551732311773</x:v>
      </x:c>
      <x:c r="E334" s="40" t="n">
        <x:v>0.5592290905059201</x:v>
      </x:c>
      <x:c r="F334" s="40" t="n">
        <x:v>0.02430749591066512</x:v>
      </x:c>
      <x:c r="G334" s="40" t="n">
        <x:v>0.27273451863453935</x:v>
      </x:c>
      <x:c r="H334" s="40" t="n">
        <x:v>0.022039620000774238</x:v>
      </x:c>
    </x:row>
    <x:row r="335">
      <x:c r="A335" t="n">
        <x:v>286</x:v>
      </x:c>
      <x:c r="B335" s="40" t="n">
        <x:v>0.07523552887972976</x:v>
      </x:c>
      <x:c r="C335" s="40" t="n">
        <x:v>0.07713010459582645</x:v>
      </x:c>
      <x:c r="D335" s="40" t="n">
        <x:v>0.7232154425070231</x:v>
      </x:c>
      <x:c r="E335" s="40" t="n">
        <x:v>0.13661445053441226</x:v>
      </x:c>
      <x:c r="F335" s="40" t="n">
        <x:v>0.09899838315712327</x:v>
      </x:c>
      <x:c r="G335" s="40" t="n">
        <x:v>0.1766804175293268</x:v>
      </x:c>
      <x:c r="H335" s="40" t="n">
        <x:v>0.4726371641071998</x:v>
      </x:c>
    </x:row>
    <x:row r="336">
      <x:c r="A336" t="n">
        <x:v>287</x:v>
      </x:c>
      <x:c r="B336" s="40" t="n">
        <x:v>0.10836444386413036</x:v>
      </x:c>
      <x:c r="C336" s="40" t="n">
        <x:v>0.14496255031452185</x:v>
      </x:c>
      <x:c r="D336" s="40" t="n">
        <x:v>0.6133349442140537</x:v>
      </x:c>
      <x:c r="E336" s="40" t="n">
        <x:v>0.03833033181115713</x:v>
      </x:c>
      <x:c r="F336" s="40" t="n">
        <x:v>0.42757653240789334</x:v>
      </x:c>
      <x:c r="G336" s="40" t="n">
        <x:v>0.09253889860020462</x:v>
      </x:c>
      <x:c r="H336" s="40" t="n">
        <x:v>0.06846197723148466</x:v>
      </x:c>
    </x:row>
    <x:row r="337">
      <x:c r="A337" t="n">
        <x:v>288</x:v>
      </x:c>
      <x:c r="B337" s="40" t="n">
        <x:v>0.08548664294670885</x:v>
      </x:c>
      <x:c r="C337" s="40" t="n">
        <x:v>0.08952695435871982</x:v>
      </x:c>
      <x:c r="D337" s="40" t="n">
        <x:v>0.7375744798407875</x:v>
      </x:c>
      <x:c r="E337" s="40" t="n">
        <x:v>0.23249079854164578</x:v>
      </x:c>
      <x:c r="F337" s="40" t="n">
        <x:v>0.10155144979029682</x:v>
      </x:c>
      <x:c r="G337" s="40" t="n">
        <x:v>0.017880011541689417</x:v>
      </x:c>
      <x:c r="H337" s="40" t="n">
        <x:v>0.16169748731414052</x:v>
      </x:c>
    </x:row>
    <x:row r="338">
      <x:c r="A338" t="n">
        <x:v>289</x:v>
      </x:c>
      <x:c r="B338" s="40" t="n">
        <x:v>0.0809431142084246</x:v>
      </x:c>
      <x:c r="C338" s="40" t="n">
        <x:v>0.07717857919128199</x:v>
      </x:c>
      <x:c r="D338" s="40" t="n">
        <x:v>0.7967141750845318</x:v>
      </x:c>
      <x:c r="E338" s="40" t="n">
        <x:v>0.05145839021489452</x:v>
      </x:c>
      <x:c r="F338" s="40" t="n">
        <x:v>0.07610483210951897</x:v>
      </x:c>
      <x:c r="G338" s="40" t="n">
        <x:v>0.207667335010613</x:v>
      </x:c>
      <x:c r="H338" s="40" t="n">
        <x:v>0.27052680227494974</x:v>
      </x:c>
    </x:row>
    <x:row r="339">
      <x:c r="A339" t="n">
        <x:v>290</x:v>
      </x:c>
      <x:c r="B339" s="40" t="n">
        <x:v>0.08112566008301958</x:v>
      </x:c>
      <x:c r="C339" s="40" t="n">
        <x:v>0.08296735220491924</x:v>
      </x:c>
      <x:c r="D339" s="40" t="n">
        <x:v>0.7433262878734705</x:v>
      </x:c>
      <x:c r="E339" s="40" t="n">
        <x:v>0.08019125443978542</x:v>
      </x:c>
      <x:c r="F339" s="40" t="n">
        <x:v>0.1926272150099105</x:v>
      </x:c>
      <x:c r="G339" s="40" t="n">
        <x:v>0.12095404661817158</x:v>
      </x:c>
      <x:c r="H339" s="40" t="n">
        <x:v>0.03202762211735387</x:v>
      </x:c>
    </x:row>
    <x:row r="340">
      <x:c r="A340" t="n">
        <x:v>291</x:v>
      </x:c>
      <x:c r="B340" s="40" t="n">
        <x:v>0.06957445291912537</x:v>
      </x:c>
      <x:c r="C340" s="40" t="n">
        <x:v>0.06548251179683548</x:v>
      </x:c>
      <x:c r="D340" s="40" t="n">
        <x:v>0.7654044628095856</x:v>
      </x:c>
      <x:c r="E340" s="40" t="n">
        <x:v>0.046272052020847804</x:v>
      </x:c>
      <x:c r="F340" s="40" t="n">
        <x:v>0.10130503489428602</x:v>
      </x:c>
      <x:c r="G340" s="40" t="n">
        <x:v>0.0076078898159556855</x:v>
      </x:c>
      <x:c r="H340" s="40" t="n">
        <x:v>0.3045649038437306</x:v>
      </x:c>
    </x:row>
    <x:row r="341">
      <x:c r="A341" t="n">
        <x:v>292</x:v>
      </x:c>
      <x:c r="B341" s="40" t="n">
        <x:v>0.08401154038793326</x:v>
      </x:c>
      <x:c r="C341" s="40" t="n">
        <x:v>0.08080996984609422</x:v>
      </x:c>
      <x:c r="D341" s="40" t="n">
        <x:v>0.7988827907873223</x:v>
      </x:c>
      <x:c r="E341" s="40" t="n">
        <x:v>0.19833014394726853</x:v>
      </x:c>
      <x:c r="F341" s="40" t="n">
        <x:v>0.06423692137147233</x:v>
      </x:c>
      <x:c r="G341" s="40" t="n">
        <x:v>0.16754152446747544</x:v>
      </x:c>
      <x:c r="H341" s="40" t="n">
        <x:v>0.13966034348340936</x:v>
      </x:c>
    </x:row>
    <x:row r="342">
      <x:c r="A342" t="n">
        <x:v>293</x:v>
      </x:c>
      <x:c r="B342" s="40" t="n">
        <x:v>0.07815513769200136</x:v>
      </x:c>
      <x:c r="C342" s="40" t="n">
        <x:v>0.07964117297295717</x:v>
      </x:c>
      <x:c r="D342" s="40" t="n">
        <x:v>0.7370721618840009</x:v>
      </x:c>
      <x:c r="E342" s="40" t="n">
        <x:v>0.05463117922229986</x:v>
      </x:c>
      <x:c r="F342" s="40" t="n">
        <x:v>0.16583240922447526</x:v>
      </x:c>
      <x:c r="G342" s="40" t="n">
        <x:v>0.009301995920233735</x:v>
      </x:c>
      <x:c r="H342" s="40" t="n">
        <x:v>0.13998105169817768</x:v>
      </x:c>
    </x:row>
    <x:row r="343">
      <x:c r="A343" t="n">
        <x:v>294</x:v>
      </x:c>
      <x:c r="B343" s="40" t="n">
        <x:v>0.10361760567398148</x:v>
      </x:c>
      <x:c r="C343" s="40" t="n">
        <x:v>0.1425836560688749</x:v>
      </x:c>
      <x:c r="D343" s="40" t="n">
        <x:v>0.5902763461155751</x:v>
      </x:c>
      <x:c r="E343" s="40" t="n">
        <x:v>0.004785591444863283</x:v>
      </x:c>
      <x:c r="F343" s="40" t="n">
        <x:v>0.46221953224406104</x:v>
      </x:c>
      <x:c r="G343" s="40" t="n">
        <x:v>0.1446269695195093</x:v>
      </x:c>
      <x:c r="H343" s="40" t="n">
        <x:v>0.09303062930416298</x:v>
      </x:c>
    </x:row>
    <x:row r="344">
      <x:c r="A344" t="n">
        <x:v>295</x:v>
      </x:c>
      <x:c r="B344" s="40" t="n">
        <x:v>0.1041934026420049</x:v>
      </x:c>
      <x:c r="C344" s="40" t="n">
        <x:v>0.13274868053808336</x:v>
      </x:c>
      <x:c r="D344" s="40" t="n">
        <x:v>0.6383457533790582</x:v>
      </x:c>
      <x:c r="E344" s="40" t="n">
        <x:v>0.40741292846039084</x:v>
      </x:c>
      <x:c r="F344" s="40" t="n">
        <x:v>0.16518698642135293</x:v>
      </x:c>
      <x:c r="G344" s="40" t="n">
        <x:v>0.0009180279675477523</x:v>
      </x:c>
      <x:c r="H344" s="40" t="n">
        <x:v>0.08381372795869858</x:v>
      </x:c>
    </x:row>
    <x:row r="345">
      <x:c r="A345" t="n">
        <x:v>296</x:v>
      </x:c>
      <x:c r="B345" s="40" t="n">
        <x:v>0.0901663027077235</x:v>
      </x:c>
      <x:c r="C345" s="40" t="n">
        <x:v>0.10986166405400075</x:v>
      </x:c>
      <x:c r="D345" s="40" t="n">
        <x:v>0.643649968009949</x:v>
      </x:c>
      <x:c r="E345" s="40" t="n">
        <x:v>0.12418776933408437</x:v>
      </x:c>
      <x:c r="F345" s="40" t="n">
        <x:v>0.2748916535552441</x:v>
      </x:c>
      <x:c r="G345" s="40" t="n">
        <x:v>0.029814734935034067</x:v>
      </x:c>
      <x:c r="H345" s="40" t="n">
        <x:v>0.008149357400433467</x:v>
      </x:c>
    </x:row>
    <x:row r="346">
      <x:c r="A346" t="n">
        <x:v>297</x:v>
      </x:c>
      <x:c r="B346" s="40" t="n">
        <x:v>0.07916968251735336</x:v>
      </x:c>
      <x:c r="C346" s="40" t="n">
        <x:v>0.09615375223446708</x:v>
      </x:c>
      <x:c r="D346" s="40" t="n">
        <x:v>0.6210453047936447</x:v>
      </x:c>
      <x:c r="E346" s="40" t="n">
        <x:v>0.21130292463688627</x:v>
      </x:c>
      <x:c r="F346" s="40" t="n">
        <x:v>0.1753918821071291</x:v>
      </x:c>
      <x:c r="G346" s="40" t="n">
        <x:v>0.029602021506943906</x:v>
      </x:c>
      <x:c r="H346" s="40" t="n">
        <x:v>0.1928848982348262</x:v>
      </x:c>
    </x:row>
    <x:row r="347">
      <x:c r="A347" t="n">
        <x:v>298</x:v>
      </x:c>
      <x:c r="B347" s="40" t="n">
        <x:v>0.07329654107072063</x:v>
      </x:c>
      <x:c r="C347" s="40" t="n">
        <x:v>0.06684336942806889</x:v>
      </x:c>
      <x:c r="D347" s="40" t="n">
        <x:v>0.8055053983299776</x:v>
      </x:c>
      <x:c r="E347" s="40" t="n">
        <x:v>0.031220547269426465</x:v>
      </x:c>
      <x:c r="F347" s="40" t="n">
        <x:v>0.018032798016186593</x:v>
      </x:c>
      <x:c r="G347" s="40" t="n">
        <x:v>0.2691284174546934</x:v>
      </x:c>
      <x:c r="H347" s="40" t="n">
        <x:v>0.25641908852550804</x:v>
      </x:c>
    </x:row>
    <x:row r="348">
      <x:c r="A348" t="n">
        <x:v>299</x:v>
      </x:c>
      <x:c r="B348" s="40" t="n">
        <x:v>0.0904129056305952</x:v>
      </x:c>
      <x:c r="C348" s="40" t="n">
        <x:v>0.12517181116199025</x:v>
      </x:c>
      <x:c r="D348" s="40" t="n">
        <x:v>0.5668932870589998</x:v>
      </x:c>
      <x:c r="E348" s="40" t="n">
        <x:v>0.14431700364558142</x:v>
      </x:c>
      <x:c r="F348" s="40" t="n">
        <x:v>0.39388793713744763</x:v>
      </x:c>
      <x:c r="G348" s="40" t="n">
        <x:v>0.29637213974510873</x:v>
      </x:c>
      <x:c r="H348" s="40" t="n">
        <x:v>0.022373238067256274</x:v>
      </x:c>
    </x:row>
    <x:row r="349">
      <x:c r="A349" t="n">
        <x:v>300</x:v>
      </x:c>
      <x:c r="B349" s="40" t="n">
        <x:v>0.07293732738962068</x:v>
      </x:c>
      <x:c r="C349" s="40" t="n">
        <x:v>0.06701616162939987</x:v>
      </x:c>
      <x:c r="D349" s="40" t="n">
        <x:v>0.7980684052234859</x:v>
      </x:c>
      <x:c r="E349" s="40" t="n">
        <x:v>0.1271774018633045</x:v>
      </x:c>
      <x:c r="F349" s="40" t="n">
        <x:v>0.08027069860204107</x:v>
      </x:c>
      <x:c r="G349" s="40" t="n">
        <x:v>0.363893009708283</x:v>
      </x:c>
      <x:c r="H349" s="40" t="n">
        <x:v>0.17137587671149848</x:v>
      </x:c>
    </x:row>
    <x:row r="350">
      <x:c r="A350" t="n">
        <x:v>301</x:v>
      </x:c>
      <x:c r="B350" s="40" t="n">
        <x:v>0.0910378122620218</x:v>
      </x:c>
      <x:c r="C350" s="40" t="n">
        <x:v>0.09027937736280807</x:v>
      </x:c>
      <x:c r="D350" s="40" t="n">
        <x:v>0.7929160368541235</x:v>
      </x:c>
      <x:c r="E350" s="40" t="n">
        <x:v>0.09333310939314653</x:v>
      </x:c>
      <x:c r="F350" s="40" t="n">
        <x:v>0.10262952851923485</x:v>
      </x:c>
      <x:c r="G350" s="40" t="n">
        <x:v>0.006140768917723626</x:v>
      </x:c>
      <x:c r="H350" s="40" t="n">
        <x:v>0.1265676228819447</x:v>
      </x:c>
    </x:row>
    <x:row r="351">
      <x:c r="A351" t="n">
        <x:v>302</x:v>
      </x:c>
      <x:c r="B351" s="40" t="n">
        <x:v>0.07395258297377906</x:v>
      </x:c>
      <x:c r="C351" s="40" t="n">
        <x:v>0.07170883527502467</x:v>
      </x:c>
      <x:c r="D351" s="40" t="n">
        <x:v>0.7600003069484266</x:v>
      </x:c>
      <x:c r="E351" s="40" t="n">
        <x:v>0.10227756650448018</x:v>
      </x:c>
      <x:c r="F351" s="40" t="n">
        <x:v>0.06585012998856846</x:v>
      </x:c>
      <x:c r="G351" s="40" t="n">
        <x:v>0.44959483270682055</x:v>
      </x:c>
      <x:c r="H351" s="40" t="n">
        <x:v>0.09744692358094392</x:v>
      </x:c>
    </x:row>
    <x:row r="352">
      <x:c r="A352" t="n">
        <x:v>303</x:v>
      </x:c>
      <x:c r="B352" s="40" t="n">
        <x:v>0.06649955824049476</x:v>
      </x:c>
      <x:c r="C352" s="40" t="n">
        <x:v>0.0671506539009704</x:v>
      </x:c>
      <x:c r="D352" s="40" t="n">
        <x:v>0.7005994633504045</x:v>
      </x:c>
      <x:c r="E352" s="40" t="n">
        <x:v>0.07351889098239178</x:v>
      </x:c>
      <x:c r="F352" s="40" t="n">
        <x:v>0.18267584629177375</x:v>
      </x:c>
      <x:c r="G352" s="40" t="n">
        <x:v>0.45803049058564355</x:v>
      </x:c>
      <x:c r="H352" s="40" t="n">
        <x:v>0.08548097116743092</x:v>
      </x:c>
    </x:row>
    <x:row r="353">
      <x:c r="A353" t="n">
        <x:v>304</x:v>
      </x:c>
      <x:c r="B353" s="40" t="n">
        <x:v>0.0855920397697178</x:v>
      </x:c>
      <x:c r="C353" s="40" t="n">
        <x:v>0.10843439690392713</x:v>
      </x:c>
      <x:c r="D353" s="40" t="n">
        <x:v>0.6099373953679115</x:v>
      </x:c>
      <x:c r="E353" s="40" t="n">
        <x:v>0.11091388519600652</x:v>
      </x:c>
      <x:c r="F353" s="40" t="n">
        <x:v>0.29284916724427335</x:v>
      </x:c>
      <x:c r="G353" s="40" t="n">
        <x:v>0.18922492287092518</x:v>
      </x:c>
      <x:c r="H353" s="40" t="n">
        <x:v>0.3014520364927397</x:v>
      </x:c>
    </x:row>
    <x:row r="354">
      <x:c r="A354" t="n">
        <x:v>305</x:v>
      </x:c>
      <x:c r="B354" s="40" t="n">
        <x:v>0.07829443827372726</x:v>
      </x:c>
      <x:c r="C354" s="40" t="n">
        <x:v>0.08501691651631585</x:v>
      </x:c>
      <x:c r="D354" s="40" t="n">
        <x:v>0.6921045190881373</x:v>
      </x:c>
      <x:c r="E354" s="40" t="n">
        <x:v>0.03494491781087476</x:v>
      </x:c>
      <x:c r="F354" s="40" t="n">
        <x:v>0.1901630739136168</x:v>
      </x:c>
      <x:c r="G354" s="40" t="n">
        <x:v>0.005979881004639529</x:v>
      </x:c>
      <x:c r="H354" s="40" t="n">
        <x:v>0.3820647228659994</x:v>
      </x:c>
    </x:row>
    <x:row r="355">
      <x:c r="A355" t="n">
        <x:v>306</x:v>
      </x:c>
      <x:c r="B355" s="40" t="n">
        <x:v>0.08719499840028122</x:v>
      </x:c>
      <x:c r="C355" s="40" t="n">
        <x:v>0.1300898898418137</x:v>
      </x:c>
      <x:c r="D355" s="40" t="n">
        <x:v>0.5207257253335117</x:v>
      </x:c>
      <x:c r="E355" s="40" t="n">
        <x:v>0.6835632121177728</x:v>
      </x:c>
      <x:c r="F355" s="40" t="n">
        <x:v>0.005865793206579241</x:v>
      </x:c>
      <x:c r="G355" s="40" t="n">
        <x:v>0.01016020281463099</x:v>
      </x:c>
      <x:c r="H355" s="40" t="n">
        <x:v>0.045844952621325145</x:v>
      </x:c>
    </x:row>
    <x:row r="356">
      <x:c r="A356" t="n">
        <x:v>307</x:v>
      </x:c>
      <x:c r="B356" s="40" t="n">
        <x:v>0.09668302356959674</x:v>
      </x:c>
      <x:c r="C356" s="40" t="n">
        <x:v>0.13186330245428607</x:v>
      </x:c>
      <x:c r="D356" s="40" t="n">
        <x:v>0.585676044648769</x:v>
      </x:c>
      <x:c r="E356" s="40" t="n">
        <x:v>0.047229025461511635</x:v>
      </x:c>
      <x:c r="F356" s="40" t="n">
        <x:v>0.41638100420717034</x:v>
      </x:c>
      <x:c r="G356" s="40" t="n">
        <x:v>0.11626206929753959</x:v>
      </x:c>
      <x:c r="H356" s="40" t="n">
        <x:v>0.10069513084601495</x:v>
      </x:c>
    </x:row>
    <x:row r="357">
      <x:c r="A357" t="n">
        <x:v>308</x:v>
      </x:c>
      <x:c r="B357" s="40" t="n">
        <x:v>0.08157883273287057</x:v>
      </x:c>
      <x:c r="C357" s="40" t="n">
        <x:v>0.08087971717104973</x:v>
      </x:c>
      <x:c r="D357" s="40" t="n">
        <x:v>0.7681157742878653</x:v>
      </x:c>
      <x:c r="E357" s="40" t="n">
        <x:v>0.24948929134300285</x:v>
      </x:c>
      <x:c r="F357" s="40" t="n">
        <x:v>0.0787947543803935</x:v>
      </x:c>
      <x:c r="G357" s="40" t="n">
        <x:v>0.17583520437605202</x:v>
      </x:c>
      <x:c r="H357" s="40" t="n">
        <x:v>0.12349897643205238</x:v>
      </x:c>
    </x:row>
    <x:row r="358">
      <x:c r="A358" t="n">
        <x:v>309</x:v>
      </x:c>
      <x:c r="B358" s="40" t="n">
        <x:v>0.0782916634544907</x:v>
      </x:c>
      <x:c r="C358" s="40" t="n">
        <x:v>0.07706817091653252</x:v>
      </x:c>
      <x:c r="D358" s="40" t="n">
        <x:v>0.7634515857962677</x:v>
      </x:c>
      <x:c r="E358" s="40" t="n">
        <x:v>0.13365580750952116</x:v>
      </x:c>
      <x:c r="F358" s="40" t="n">
        <x:v>0.1412134229513416</x:v>
      </x:c>
      <x:c r="G358" s="40" t="n">
        <x:v>0.12822754897531025</x:v>
      </x:c>
      <x:c r="H358" s="40" t="n">
        <x:v>0.11681122045536278</x:v>
      </x:c>
    </x:row>
    <x:row r="359">
      <x:c r="A359" t="n">
        <x:v>310</x:v>
      </x:c>
      <x:c r="B359" s="40" t="n">
        <x:v>0.10325279636556814</x:v>
      </x:c>
      <x:c r="C359" s="40" t="n">
        <x:v>0.185806060352012</x:v>
      </x:c>
      <x:c r="D359" s="40" t="n">
        <x:v>0.45100224423769486</x:v>
      </x:c>
      <x:c r="E359" s="40" t="n">
        <x:v>0.15221046912117617</x:v>
      </x:c>
      <x:c r="F359" s="40" t="n">
        <x:v>0.5959635492241334</x:v>
      </x:c>
      <x:c r="G359" s="40" t="n">
        <x:v>0.0318478630963423</x:v>
      </x:c>
      <x:c r="H359" s="40" t="n">
        <x:v>0.08593466167694051</x:v>
      </x:c>
    </x:row>
    <x:row r="360">
      <x:c r="A360" t="n">
        <x:v>311</x:v>
      </x:c>
      <x:c r="B360" s="40" t="n">
        <x:v>0.09599442234750037</x:v>
      </x:c>
      <x:c r="C360" s="40" t="n">
        <x:v>0.11910235036018596</x:v>
      </x:c>
      <x:c r="D360" s="40" t="n">
        <x:v>0.6426453882915187</x:v>
      </x:c>
      <x:c r="E360" s="40" t="n">
        <x:v>0.06895851109701741</x:v>
      </x:c>
      <x:c r="F360" s="40" t="n">
        <x:v>0.3021495314779219</x:v>
      </x:c>
      <x:c r="G360" s="40" t="n">
        <x:v>0.007680177453566923</x:v>
      </x:c>
      <x:c r="H360" s="40" t="n">
        <x:v>0.301825020512931</x:v>
      </x:c>
    </x:row>
    <x:row r="361">
      <x:c r="A361" t="n">
        <x:v>312</x:v>
      </x:c>
      <x:c r="B361" s="40" t="n">
        <x:v>0.10568733934129132</x:v>
      </x:c>
      <x:c r="C361" s="40" t="n">
        <x:v>0.12682461056820105</x:v>
      </x:c>
      <x:c r="D361" s="40" t="n">
        <x:v>0.6799428975267569</x:v>
      </x:c>
      <x:c r="E361" s="40" t="n">
        <x:v>0.25409801049698366</x:v>
      </x:c>
      <x:c r="F361" s="40" t="n">
        <x:v>0.20755776761935643</x:v>
      </x:c>
      <x:c r="G361" s="40" t="n">
        <x:v>0.04185457522094873</x:v>
      </x:c>
      <x:c r="H361" s="40" t="n">
        <x:v>0.004601191729917739</x:v>
      </x:c>
    </x:row>
    <x:row r="362">
      <x:c r="A362" t="n">
        <x:v>313</x:v>
      </x:c>
      <x:c r="B362" s="40" t="n">
        <x:v>0.06512875534312557</x:v>
      </x:c>
      <x:c r="C362" s="40" t="n">
        <x:v>0.06686824328276106</x:v>
      </x:c>
      <x:c r="D362" s="40" t="n">
        <x:v>0.683058309101035</x:v>
      </x:c>
      <x:c r="E362" s="40" t="n">
        <x:v>0.009475631601828868</x:v>
      </x:c>
      <x:c r="F362" s="40" t="n">
        <x:v>0.027480493669700966</x:v>
      </x:c>
      <x:c r="G362" s="40" t="n">
        <x:v>0.31499981928354587</x:v>
      </x:c>
      <x:c r="H362" s="40" t="n">
        <x:v>0.5554027204019901</x:v>
      </x:c>
    </x:row>
    <x:row r="363">
      <x:c r="A363" t="n">
        <x:v>314</x:v>
      </x:c>
      <x:c r="B363" s="40" t="n">
        <x:v>0.1010663329041573</x:v>
      </x:c>
      <x:c r="C363" s="40" t="n">
        <x:v>0.15268682570557024</x:v>
      </x:c>
      <x:c r="D363" s="40" t="n">
        <x:v>0.5345090276988698</x:v>
      </x:c>
      <x:c r="E363" s="40" t="n">
        <x:v>0.004885992722787395</x:v>
      </x:c>
      <x:c r="F363" s="40" t="n">
        <x:v>0.5095424520368297</x:v>
      </x:c>
      <x:c r="G363" s="40" t="n">
        <x:v>0.06891922305320766</x:v>
      </x:c>
      <x:c r="H363" s="40" t="n">
        <x:v>0.21175209302094367</x:v>
      </x:c>
    </x:row>
    <x:row r="364">
      <x:c r="A364" t="n">
        <x:v>315</x:v>
      </x:c>
      <x:c r="B364" s="40" t="n">
        <x:v>0.0815986451787364</x:v>
      </x:c>
      <x:c r="C364" s="40" t="n">
        <x:v>0.11248396925128813</x:v>
      </x:c>
      <x:c r="D364" s="40" t="n">
        <x:v>0.5524769390566165</x:v>
      </x:c>
      <x:c r="E364" s="40" t="n">
        <x:v>0.12672421657550662</x:v>
      </x:c>
      <x:c r="F364" s="40" t="n">
        <x:v>0.312941808315115</x:v>
      </x:c>
      <x:c r="G364" s="40" t="n">
        <x:v>0.1628103404617396</x:v>
      </x:c>
      <x:c r="H364" s="40" t="n">
        <x:v>0.29370208866911857</x:v>
      </x:c>
    </x:row>
    <x:row r="365">
      <x:c r="A365" t="n">
        <x:v>316</x:v>
      </x:c>
      <x:c r="B365" s="40" t="n">
        <x:v>0.08379377289120166</x:v>
      </x:c>
      <x:c r="C365" s="40" t="n">
        <x:v>0.08805906277763596</x:v>
      </x:c>
      <x:c r="D365" s="40" t="n">
        <x:v>0.7306451455181247</x:v>
      </x:c>
      <x:c r="E365" s="40" t="n">
        <x:v>0.16586782745886056</x:v>
      </x:c>
      <x:c r="F365" s="40" t="n">
        <x:v>0.17787905186717756</x:v>
      </x:c>
      <x:c r="G365" s="40" t="n">
        <x:v>0.17275830819357033</x:v>
      </x:c>
      <x:c r="H365" s="40" t="n">
        <x:v>0.057593875982297864</x:v>
      </x:c>
    </x:row>
    <x:row r="366">
      <x:c r="A366" t="n">
        <x:v>317</x:v>
      </x:c>
      <x:c r="B366" s="40" t="n">
        <x:v>0.07566709530493892</x:v>
      </x:c>
      <x:c r="C366" s="40" t="n">
        <x:v>0.07275331721573684</x:v>
      </x:c>
      <x:c r="D366" s="40" t="n">
        <x:v>0.7726554788478237</x:v>
      </x:c>
      <x:c r="E366" s="40" t="n">
        <x:v>0.11323527628028757</x:v>
      </x:c>
      <x:c r="F366" s="40" t="n">
        <x:v>0.010580647511619308</x:v>
      </x:c>
      <x:c r="G366" s="40" t="n">
        <x:v>0.2768524366320034</x:v>
      </x:c>
      <x:c r="H366" s="40" t="n">
        <x:v>0.33036495419781065</x:v>
      </x:c>
    </x:row>
    <x:row r="367">
      <x:c r="A367" t="n">
        <x:v>318</x:v>
      </x:c>
      <x:c r="B367" s="40" t="n">
        <x:v>0.09072872383038834</x:v>
      </x:c>
      <x:c r="C367" s="40" t="n">
        <x:v>0.12190255027075299</x:v>
      </x:c>
      <x:c r="D367" s="40" t="n">
        <x:v>0.5846873385194677</x:v>
      </x:c>
      <x:c r="E367" s="40" t="n">
        <x:v>0.5262222447731654</x:v>
      </x:c>
      <x:c r="F367" s="40" t="n">
        <x:v>0.0723457818069098</x:v>
      </x:c>
      <x:c r="G367" s="40" t="n">
        <x:v>0.013077311097429946</x:v>
      </x:c>
      <x:c r="H367" s="40" t="n">
        <x:v>0.20826056600500162</x:v>
      </x:c>
    </x:row>
    <x:row r="368">
      <x:c r="A368" t="n">
        <x:v>319</x:v>
      </x:c>
      <x:c r="B368" s="40" t="n">
        <x:v>0.0968788049803251</x:v>
      </x:c>
      <x:c r="C368" s="40" t="n">
        <x:v>0.12022614561294619</x:v>
      </x:c>
      <x:c r="D368" s="40" t="n">
        <x:v>0.6439943527403715</x:v>
      </x:c>
      <x:c r="E368" s="40" t="n">
        <x:v>0.1643959559937161</x:v>
      </x:c>
      <x:c r="F368" s="40" t="n">
        <x:v>0.2907781269131906</x:v>
      </x:c>
      <x:c r="G368" s="40" t="n">
        <x:v>0.07680939019551634</x:v>
      </x:c>
      <x:c r="H368" s="40" t="n">
        <x:v>0.09212195731522942</x:v>
      </x:c>
    </x:row>
    <x:row r="369">
      <x:c r="A369" t="n">
        <x:v>320</x:v>
      </x:c>
      <x:c r="B369" s="40" t="n">
        <x:v>0.08724982566831084</x:v>
      </x:c>
      <x:c r="C369" s="40" t="n">
        <x:v>0.08769199886139672</x:v>
      </x:c>
      <x:c r="D369" s="40" t="n">
        <x:v>0.7731147698163537</x:v>
      </x:c>
      <x:c r="E369" s="40" t="n">
        <x:v>0.1932476326910394</x:v>
      </x:c>
      <x:c r="F369" s="40" t="n">
        <x:v>0.09281514286161753</x:v>
      </x:c>
      <x:c r="G369" s="40" t="n">
        <x:v>0.21349869582938694</x:v>
      </x:c>
      <x:c r="H369" s="40" t="n">
        <x:v>0.09689207699159512</x:v>
      </x:c>
    </x:row>
    <x:row r="370">
      <x:c r="A370" t="n">
        <x:v>321</x:v>
      </x:c>
      <x:c r="B370" s="40" t="n">
        <x:v>0.08416857190454544</x:v>
      </x:c>
      <x:c r="C370" s="40" t="n">
        <x:v>0.12945033257075572</x:v>
      </x:c>
      <x:c r="D370" s="40" t="n">
        <x:v>0.4999193471776299</x:v>
      </x:c>
      <x:c r="E370" s="40" t="n">
        <x:v>0.011638031790643273</x:v>
      </x:c>
      <x:c r="F370" s="40" t="n">
        <x:v>0.43406396149565735</x:v>
      </x:c>
      <x:c r="G370" s="40" t="n">
        <x:v>0.09191435534181941</x:v>
      </x:c>
      <x:c r="H370" s="40" t="n">
        <x:v>0.1130790416622774</x:v>
      </x:c>
    </x:row>
    <x:row r="371">
      <x:c r="A371" t="n">
        <x:v>322</x:v>
      </x:c>
      <x:c r="B371" s="40" t="n">
        <x:v>0.08380117569276943</x:v>
      </x:c>
      <x:c r="C371" s="40" t="n">
        <x:v>0.08246759552002086</x:v>
      </x:c>
      <x:c r="D371" s="40" t="n">
        <x:v>0.7802741080683202</x:v>
      </x:c>
      <x:c r="E371" s="40" t="n">
        <x:v>0.09987886537540462</x:v>
      </x:c>
      <x:c r="F371" s="40" t="n">
        <x:v>0.03151577923199765</x:v>
      </x:c>
      <x:c r="G371" s="40" t="n">
        <x:v>0.23696993060811714</x:v>
      </x:c>
      <x:c r="H371" s="40" t="n">
        <x:v>0.1218358890925047</x:v>
      </x:c>
    </x:row>
    <x:row r="372">
      <x:c r="A372" t="n">
        <x:v>323</x:v>
      </x:c>
      <x:c r="B372" s="40" t="n">
        <x:v>0.0837204858908849</x:v>
      </x:c>
      <x:c r="C372" s="40" t="n">
        <x:v>0.0833500322461128</x:v>
      </x:c>
      <x:c r="D372" s="40" t="n">
        <x:v>0.7710451694520605</x:v>
      </x:c>
      <x:c r="E372" s="40" t="n">
        <x:v>0.2113947766536111</x:v>
      </x:c>
      <x:c r="F372" s="40" t="n">
        <x:v>0.0975793475895949</x:v>
      </x:c>
      <x:c r="G372" s="40" t="n">
        <x:v>0.21639640454910983</x:v>
      </x:c>
      <x:c r="H372" s="40" t="n">
        <x:v>0.13075599963237808</x:v>
      </x:c>
    </x:row>
    <x:row r="373">
      <x:c r="A373" t="n">
        <x:v>324</x:v>
      </x:c>
      <x:c r="B373" s="40" t="n">
        <x:v>0.09322258434121888</x:v>
      </x:c>
      <x:c r="C373" s="40" t="n">
        <x:v>0.1267588714165363</x:v>
      </x:c>
      <x:c r="D373" s="40" t="n">
        <x:v>0.5819611468846609</x:v>
      </x:c>
      <x:c r="E373" s="40" t="n">
        <x:v>0.03731305428816794</x:v>
      </x:c>
      <x:c r="F373" s="40" t="n">
        <x:v>0.4074507962539512</x:v>
      </x:c>
      <x:c r="G373" s="40" t="n">
        <x:v>0.14101786960037985</x:v>
      </x:c>
      <x:c r="H373" s="40" t="n">
        <x:v>0.12959800324511722</x:v>
      </x:c>
    </x:row>
    <x:row r="374">
      <x:c r="A374" t="n">
        <x:v>325</x:v>
      </x:c>
      <x:c r="B374" s="40" t="n">
        <x:v>0.0856230362147632</x:v>
      </x:c>
      <x:c r="C374" s="40" t="n">
        <x:v>0.08362656146535587</x:v>
      </x:c>
      <x:c r="D374" s="40" t="n">
        <x:v>0.791246093363878</x:v>
      </x:c>
      <x:c r="E374" s="40" t="n">
        <x:v>0.08563800287134204</x:v>
      </x:c>
      <x:c r="F374" s="40" t="n">
        <x:v>0.07406464001347075</x:v>
      </x:c>
      <x:c r="G374" s="40" t="n">
        <x:v>0.10408744124428866</x:v>
      </x:c>
      <x:c r="H374" s="40" t="n">
        <x:v>0.3201738021653533</x:v>
      </x:c>
    </x:row>
    <x:row r="375">
      <x:c r="A375" t="n">
        <x:v>326</x:v>
      </x:c>
      <x:c r="B375" s="40" t="n">
        <x:v>0.06642479670288158</x:v>
      </x:c>
      <x:c r="C375" s="40" t="n">
        <x:v>0.05785986661376385</x:v>
      </x:c>
      <x:c r="D375" s="40" t="n">
        <x:v>0.8118053721517198</x:v>
      </x:c>
      <x:c r="E375" s="40" t="n">
        <x:v>0.1552153200877498</x:v>
      </x:c>
      <x:c r="F375" s="40" t="n">
        <x:v>0.04847706207243318</x:v>
      </x:c>
      <x:c r="G375" s="40" t="n">
        <x:v>0.1558209277753752</x:v>
      </x:c>
      <x:c r="H375" s="40" t="n">
        <x:v>0.04753255640541707</x:v>
      </x:c>
    </x:row>
    <x:row r="376">
      <x:c r="A376" t="n">
        <x:v>327</x:v>
      </x:c>
      <x:c r="B376" s="40" t="n">
        <x:v>0.08332057895010511</x:v>
      </x:c>
      <x:c r="C376" s="40" t="n">
        <x:v>0.08065313271373763</x:v>
      </x:c>
      <x:c r="D376" s="40" t="n">
        <x:v>0.791869213846179</x:v>
      </x:c>
      <x:c r="E376" s="40" t="n">
        <x:v>0.06879155577609117</x:v>
      </x:c>
      <x:c r="F376" s="40" t="n">
        <x:v>0.10266530523901336</x:v>
      </x:c>
      <x:c r="G376" s="40" t="n">
        <x:v>0.033215544208721415</x:v>
      </x:c>
      <x:c r="H376" s="40" t="n">
        <x:v>0.3961311171896733</x:v>
      </x:c>
    </x:row>
    <x:row r="377">
      <x:c r="A377" t="n">
        <x:v>328</x:v>
      </x:c>
      <x:c r="B377" s="40" t="n">
        <x:v>0.08326542768585905</x:v>
      </x:c>
      <x:c r="C377" s="40" t="n">
        <x:v>0.09075412186815691</x:v>
      </x:c>
      <x:c r="D377" s="40" t="n">
        <x:v>0.7031259872109743</x:v>
      </x:c>
      <x:c r="E377" s="40" t="n">
        <x:v>0.2745998213246039</x:v>
      </x:c>
      <x:c r="F377" s="40" t="n">
        <x:v>0.08395915259423654</x:v>
      </x:c>
      <x:c r="G377" s="40" t="n">
        <x:v>0.06413435643401799</x:v>
      </x:c>
      <x:c r="H377" s="40" t="n">
        <x:v>0.3412686175509769</x:v>
      </x:c>
    </x:row>
    <x:row r="378">
      <x:c r="A378" t="n">
        <x:v>329</x:v>
      </x:c>
      <x:c r="B378" s="40" t="n">
        <x:v>0.06560601421030214</x:v>
      </x:c>
      <x:c r="C378" s="40" t="n">
        <x:v>0.0603887260025007</x:v>
      </x:c>
      <x:c r="D378" s="40" t="n">
        <x:v>0.7642513944497658</x:v>
      </x:c>
      <x:c r="E378" s="40" t="n">
        <x:v>0.21311560106520802</x:v>
      </x:c>
      <x:c r="F378" s="40" t="n">
        <x:v>0.04642916674424913</x:v>
      </x:c>
      <x:c r="G378" s="40" t="n">
        <x:v>0.4620412341056955</x:v>
      </x:c>
      <x:c r="H378" s="40" t="n">
        <x:v>0.09626787556089957</x:v>
      </x:c>
    </x:row>
    <x:row r="379">
      <x:c r="A379" t="n">
        <x:v>330</x:v>
      </x:c>
      <x:c r="B379" s="40" t="n">
        <x:v>0.07760475886088056</x:v>
      </x:c>
      <x:c r="C379" s="40" t="n">
        <x:v>0.07983061481222607</x:v>
      </x:c>
      <x:c r="D379" s="40" t="n">
        <x:v>0.7284287217856749</x:v>
      </x:c>
      <x:c r="E379" s="40" t="n">
        <x:v>0.029509330220108213</x:v>
      </x:c>
      <x:c r="F379" s="40" t="n">
        <x:v>0.19005856912887267</x:v>
      </x:c>
      <x:c r="G379" s="40" t="n">
        <x:v>0.05051983797361558</x:v>
      </x:c>
      <x:c r="H379" s="40" t="n">
        <x:v>0.07102174690469931</x:v>
      </x:c>
    </x:row>
    <x:row r="380">
      <x:c r="A380" t="n">
        <x:v>331</x:v>
      </x:c>
      <x:c r="B380" s="40" t="n">
        <x:v>0.08263830607467162</x:v>
      </x:c>
      <x:c r="C380" s="40" t="n">
        <x:v>0.0974877417480991</x:v>
      </x:c>
      <x:c r="D380" s="40" t="n">
        <x:v>0.6481272290016656</x:v>
      </x:c>
      <x:c r="E380" s="40" t="n">
        <x:v>0.4378746845855852</x:v>
      </x:c>
      <x:c r="F380" s="40" t="n">
        <x:v>0.05776046093098142</x:v>
      </x:c>
      <x:c r="G380" s="40" t="n">
        <x:v>0.15356670530046979</x:v>
      </x:c>
      <x:c r="H380" s="40" t="n">
        <x:v>0.0703501037754064</x:v>
      </x:c>
    </x:row>
    <x:row r="381">
      <x:c r="A381" t="n">
        <x:v>332</x:v>
      </x:c>
      <x:c r="B381" s="40" t="n">
        <x:v>0.07663504245508496</x:v>
      </x:c>
      <x:c r="C381" s="40" t="n">
        <x:v>0.0893503458240318</x:v>
      </x:c>
      <x:c r="D381" s="40" t="n">
        <x:v>0.6399661442145114</x:v>
      </x:c>
      <x:c r="E381" s="40" t="n">
        <x:v>0.4159055790141803</x:v>
      </x:c>
      <x:c r="F381" s="40" t="n">
        <x:v>0.03038684100124699</x:v>
      </x:c>
      <x:c r="G381" s="40" t="n">
        <x:v>0.15625920632523796</x:v>
      </x:c>
      <x:c r="H381" s="40" t="n">
        <x:v>0.19985682489142112</x:v>
      </x:c>
    </x:row>
    <x:row r="382">
      <x:c r="A382" t="n">
        <x:v>333</x:v>
      </x:c>
      <x:c r="B382" s="40" t="n">
        <x:v>0.08773652664860884</x:v>
      </x:c>
      <x:c r="C382" s="40" t="n">
        <x:v>0.10273900742005379</x:v>
      </x:c>
      <x:c r="D382" s="40" t="n">
        <x:v>0.6646227388160895</x:v>
      </x:c>
      <x:c r="E382" s="40" t="n">
        <x:v>0.34057306256994496</x:v>
      </x:c>
      <x:c r="F382" s="40" t="n">
        <x:v>0.0859967258149567</x:v>
      </x:c>
      <x:c r="G382" s="40" t="n">
        <x:v>0.04246999512383349</x:v>
      </x:c>
      <x:c r="H382" s="40" t="n">
        <x:v>0.36836048537743277</x:v>
      </x:c>
    </x:row>
    <x:row r="383">
      <x:c r="A383" t="n">
        <x:v>334</x:v>
      </x:c>
      <x:c r="B383" s="40" t="n">
        <x:v>0.06855637650114746</x:v>
      </x:c>
      <x:c r="C383" s="40" t="n">
        <x:v>0.06947804859324311</x:v>
      </x:c>
      <x:c r="D383" s="40" t="n">
        <x:v>0.7067344483834083</x:v>
      </x:c>
      <x:c r="E383" s="40" t="n">
        <x:v>0.11775075800804118</x:v>
      </x:c>
      <x:c r="F383" s="40" t="n">
        <x:v>0.09691673146388013</x:v>
      </x:c>
      <x:c r="G383" s="40" t="n">
        <x:v>0.0992129441395779</x:v>
      </x:c>
      <x:c r="H383" s="40" t="n">
        <x:v>0.42032629548532396</x:v>
      </x:c>
    </x:row>
    <x:row r="384">
      <x:c r="A384" t="n">
        <x:v>335</x:v>
      </x:c>
      <x:c r="B384" s="40" t="n">
        <x:v>0.09200144042836171</x:v>
      </x:c>
      <x:c r="C384" s="40" t="n">
        <x:v>0.11464630889145705</x:v>
      </x:c>
      <x:c r="D384" s="40" t="n">
        <x:v>0.632794853807295</x:v>
      </x:c>
      <x:c r="E384" s="40" t="n">
        <x:v>0.1461307015596168</x:v>
      </x:c>
      <x:c r="F384" s="40" t="n">
        <x:v>0.28583189406354487</x:v>
      </x:c>
      <x:c r="G384" s="40" t="n">
        <x:v>0.14548125304898465</x:v>
      </x:c>
      <x:c r="H384" s="40" t="n">
        <x:v>0.2425520889657435</x:v>
      </x:c>
    </x:row>
    <x:row r="385">
      <x:c r="A385" t="n">
        <x:v>336</x:v>
      </x:c>
      <x:c r="B385" s="40" t="n">
        <x:v>0.09343781614057611</x:v>
      </x:c>
      <x:c r="C385" s="40" t="n">
        <x:v>0.11196057475844784</x:v>
      </x:c>
      <x:c r="D385" s="40" t="n">
        <x:v>0.6608037708483414</x:v>
      </x:c>
      <x:c r="E385" s="40" t="n">
        <x:v>0.1791622146724332</x:v>
      </x:c>
      <x:c r="F385" s="40" t="n">
        <x:v>0.22958176662690769</x:v>
      </x:c>
      <x:c r="G385" s="40" t="n">
        <x:v>0.06344610845275489</x:v>
      </x:c>
      <x:c r="H385" s="40" t="n">
        <x:v>0.2784310476738318</x:v>
      </x:c>
    </x:row>
    <x:row r="386">
      <x:c r="A386" t="n">
        <x:v>337</x:v>
      </x:c>
      <x:c r="B386" s="40" t="n">
        <x:v>0.08785428055059097</x:v>
      </x:c>
      <x:c r="C386" s="40" t="n">
        <x:v>0.12787128001281378</x:v>
      </x:c>
      <x:c r="D386" s="40" t="n">
        <x:v>0.5349163188942077</x:v>
      </x:c>
      <x:c r="E386" s="40" t="n">
        <x:v>0.5732142238486654</x:v>
      </x:c>
      <x:c r="F386" s="40" t="n">
        <x:v>0.13834443240146543</x:v>
      </x:c>
      <x:c r="G386" s="40" t="n">
        <x:v>0.19820979505681863</x:v>
      </x:c>
      <x:c r="H386" s="40" t="n">
        <x:v>0.013440094112431732</x:v>
      </x:c>
    </x:row>
    <x:row r="387">
      <x:c r="A387" t="n">
        <x:v>338</x:v>
      </x:c>
      <x:c r="B387" s="40" t="n">
        <x:v>0.08993216291685688</x:v>
      </x:c>
      <x:c r="C387" s="40" t="n">
        <x:v>0.09766446087724623</x:v>
      </x:c>
      <x:c r="D387" s="40" t="n">
        <x:v>0.7216372888352337</x:v>
      </x:c>
      <x:c r="E387" s="40" t="n">
        <x:v>0.159157897339426</x:v>
      </x:c>
      <x:c r="F387" s="40" t="n">
        <x:v>0.1916311987181819</x:v>
      </x:c>
      <x:c r="G387" s="40" t="n">
        <x:v>0.23676023578450323</x:v>
      </x:c>
      <x:c r="H387" s="40" t="n">
        <x:v>0.10000771884860975</x:v>
      </x:c>
    </x:row>
    <x:row r="388">
      <x:c r="A388" t="n">
        <x:v>339</x:v>
      </x:c>
      <x:c r="B388" s="40" t="n">
        <x:v>0.08857067094106394</x:v>
      </x:c>
      <x:c r="C388" s="40" t="n">
        <x:v>0.10234122907590242</x:v>
      </x:c>
      <x:c r="D388" s="40" t="n">
        <x:v>0.6753566027231956</x:v>
      </x:c>
      <x:c r="E388" s="40" t="n">
        <x:v>0.4354329568362133</x:v>
      </x:c>
      <x:c r="F388" s="40" t="n">
        <x:v>0.07183892255704069</x:v>
      </x:c>
      <x:c r="G388" s="40" t="n">
        <x:v>0.24964990641947796</x:v>
      </x:c>
      <x:c r="H388" s="40" t="n">
        <x:v>0.015887970780454</x:v>
      </x:c>
    </x:row>
    <x:row r="389">
      <x:c r="A389" t="n">
        <x:v>340</x:v>
      </x:c>
      <x:c r="B389" s="40" t="n">
        <x:v>0.07628177783666511</x:v>
      </x:c>
      <x:c r="C389" s="40" t="n">
        <x:v>0.08599044716413348</x:v>
      </x:c>
      <x:c r="D389" s="40" t="n">
        <x:v>0.6608633116461082</x:v>
      </x:c>
      <x:c r="E389" s="40" t="n">
        <x:v>0.1328534381375124</x:v>
      </x:c>
      <x:c r="F389" s="40" t="n">
        <x:v>0.2407175600297503</x:v>
      </x:c>
      <x:c r="G389" s="40" t="n">
        <x:v>0.3669321396730937</x:v>
      </x:c>
      <x:c r="H389" s="40" t="n">
        <x:v>0.043477611825393545</x:v>
      </x:c>
    </x:row>
    <x:row r="390">
      <x:c r="A390" t="n">
        <x:v>341</x:v>
      </x:c>
      <x:c r="B390" s="40" t="n">
        <x:v>0.06709888957522181</x:v>
      </x:c>
      <x:c r="C390" s="40" t="n">
        <x:v>0.05175746868763849</x:v>
      </x:c>
      <x:c r="D390" s="40" t="n">
        <x:v>0.9205443123371869</x:v>
      </x:c>
      <x:c r="E390" s="40" t="n">
        <x:v>0.06767152295053648</x:v>
      </x:c>
      <x:c r="F390" s="40" t="n">
        <x:v>0.04502177705249847</x:v>
      </x:c>
      <x:c r="G390" s="40" t="n">
        <x:v>0.1885039542093067</x:v>
      </x:c>
      <x:c r="H390" s="40" t="n">
        <x:v>0.1947095626636841</x:v>
      </x:c>
    </x:row>
    <x:row r="391">
      <x:c r="A391" t="n">
        <x:v>342</x:v>
      </x:c>
      <x:c r="B391" s="40" t="n">
        <x:v>0.08192821148107635</x:v>
      </x:c>
      <x:c r="C391" s="40" t="n">
        <x:v>0.09235777517407442</x:v>
      </x:c>
      <x:c r="D391" s="40" t="n">
        <x:v>0.6764386128777954</x:v>
      </x:c>
      <x:c r="E391" s="40" t="n">
        <x:v>0.36805272855922216</x:v>
      </x:c>
      <x:c r="F391" s="40" t="n">
        <x:v>0.10312102342906436</x:v>
      </x:c>
      <x:c r="G391" s="40" t="n">
        <x:v>0.2697785238045756</x:v>
      </x:c>
      <x:c r="H391" s="40" t="n">
        <x:v>0.041034238015189475</x:v>
      </x:c>
    </x:row>
    <x:row r="392">
      <x:c r="A392" t="n">
        <x:v>343</x:v>
      </x:c>
      <x:c r="B392" s="40" t="n">
        <x:v>0.0685359923646878</x:v>
      </x:c>
      <x:c r="C392" s="40" t="n">
        <x:v>0.056698156024259816</x:v>
      </x:c>
      <x:c r="D392" s="40" t="n">
        <x:v>0.865674470785973</x:v>
      </x:c>
      <x:c r="E392" s="40" t="n">
        <x:v>0.08658194579617261</x:v>
      </x:c>
      <x:c r="F392" s="40" t="n">
        <x:v>0.0032298658116637494</x:v>
      </x:c>
      <x:c r="G392" s="40" t="n">
        <x:v>0.21230480859220868</x:v>
      </x:c>
      <x:c r="H392" s="40" t="n">
        <x:v>0.35471541022453484</x:v>
      </x:c>
    </x:row>
    <x:row r="393">
      <x:c r="A393" t="n">
        <x:v>344</x:v>
      </x:c>
      <x:c r="B393" s="40" t="n">
        <x:v>0.09323302680393172</x:v>
      </x:c>
      <x:c r="C393" s="40" t="n">
        <x:v>0.10501749390346905</x:v>
      </x:c>
      <x:c r="D393" s="40" t="n">
        <x:v>0.7025418138229674</x:v>
      </x:c>
      <x:c r="E393" s="40" t="n">
        <x:v>0.339909097740554</x:v>
      </x:c>
      <x:c r="F393" s="40" t="n">
        <x:v>0.10791934016525677</x:v>
      </x:c>
      <x:c r="G393" s="40" t="n">
        <x:v>0.14956407110408332</x:v>
      </x:c>
      <x:c r="H393" s="40" t="n">
        <x:v>0.0630781394659499</x:v>
      </x:c>
    </x:row>
    <x:row r="394">
      <x:c r="A394" t="n">
        <x:v>345</x:v>
      </x:c>
      <x:c r="B394" s="40" t="n">
        <x:v>0.08710773518014196</x:v>
      </x:c>
      <x:c r="C394" s="40" t="n">
        <x:v>0.11539337266367347</x:v>
      </x:c>
      <x:c r="D394" s="40" t="n">
        <x:v>0.5862892076434963</x:v>
      </x:c>
      <x:c r="E394" s="40" t="n">
        <x:v>0.43066864330614474</x:v>
      </x:c>
      <x:c r="F394" s="40" t="n">
        <x:v>0.14105202127332192</x:v>
      </x:c>
      <x:c r="G394" s="40" t="n">
        <x:v>0.06642669653464385</x:v>
      </x:c>
      <x:c r="H394" s="40" t="n">
        <x:v>0.05752452083968706</x:v>
      </x:c>
    </x:row>
    <x:row r="395">
      <x:c r="A395" t="n">
        <x:v>346</x:v>
      </x:c>
      <x:c r="B395" s="40" t="n">
        <x:v>0.06554774223728353</x:v>
      </x:c>
      <x:c r="C395" s="40" t="n">
        <x:v>0.0625727640856726</x:v>
      </x:c>
      <x:c r="D395" s="40" t="n">
        <x:v>0.7366447168663848</x:v>
      </x:c>
      <x:c r="E395" s="40" t="n">
        <x:v>0.06119000053089251</x:v>
      </x:c>
      <x:c r="F395" s="40" t="n">
        <x:v>0.019551513776204538</x:v>
      </x:c>
      <x:c r="G395" s="40" t="n">
        <x:v>0.15189275754657522</x:v>
      </x:c>
      <x:c r="H395" s="40" t="n">
        <x:v>0.6474778494459067</x:v>
      </x:c>
    </x:row>
    <x:row r="396">
      <x:c r="A396" t="n">
        <x:v>347</x:v>
      </x:c>
      <x:c r="B396" s="40" t="n">
        <x:v>0.08476122386341015</x:v>
      </x:c>
      <x:c r="C396" s="40" t="n">
        <x:v>0.08994068081945453</x:v>
      </x:c>
      <x:c r="D396" s="40" t="n">
        <x:v>0.7261161146940945</x:v>
      </x:c>
      <x:c r="E396" s="40" t="n">
        <x:v>0.04171138773335466</x:v>
      </x:c>
      <x:c r="F396" s="40" t="n">
        <x:v>0.22898757691016314</x:v>
      </x:c>
      <x:c r="G396" s="40" t="n">
        <x:v>0.3505261829933459</x:v>
      </x:c>
      <x:c r="H396" s="40" t="n">
        <x:v>0.05678969216815532</x:v>
      </x:c>
    </x:row>
    <x:row r="397">
      <x:c r="A397" t="n">
        <x:v>348</x:v>
      </x:c>
      <x:c r="B397" s="40" t="n">
        <x:v>0.10496730715752309</x:v>
      </x:c>
      <x:c r="C397" s="40" t="n">
        <x:v>0.20143474937404898</x:v>
      </x:c>
      <x:c r="D397" s="40" t="n">
        <x:v>0.4245218924212771</x:v>
      </x:c>
      <x:c r="E397" s="40" t="n">
        <x:v>0.08225792881237753</x:v>
      </x:c>
      <x:c r="F397" s="40" t="n">
        <x:v>0.6924565882076626</x:v>
      </x:c>
      <x:c r="G397" s="40" t="n">
        <x:v>0.04012653424798493</x:v>
      </x:c>
      <x:c r="H397" s="40" t="n">
        <x:v>0.1125685804792264</x:v>
      </x:c>
    </x:row>
    <x:row r="398">
      <x:c r="A398" t="n">
        <x:v>349</x:v>
      </x:c>
      <x:c r="B398" s="40" t="n">
        <x:v>0.09953626988305025</x:v>
      </x:c>
      <x:c r="C398" s="40" t="n">
        <x:v>0.11899057665878114</x:v>
      </x:c>
      <x:c r="D398" s="40" t="n">
        <x:v>0.6730148384678347</x:v>
      </x:c>
      <x:c r="E398" s="40" t="n">
        <x:v>0.016712979845790364</x:v>
      </x:c>
      <x:c r="F398" s="40" t="n">
        <x:v>0.055954000010957114</x:v>
      </x:c>
      <x:c r="G398" s="40" t="n">
        <x:v>0.14512780204498987</x:v>
      </x:c>
      <x:c r="H398" s="40" t="n">
        <x:v>0.18316547904885422</x:v>
      </x:c>
    </x:row>
    <x:row r="399">
      <x:c r="A399" t="n">
        <x:v>350</x:v>
      </x:c>
      <x:c r="B399" s="40" t="n">
        <x:v>0.10121005049859269</x:v>
      </x:c>
      <x:c r="C399" s="40" t="n">
        <x:v>0.1459691012307348</x:v>
      </x:c>
      <x:c r="D399" s="40" t="n">
        <x:v>0.5600925377728653</x:v>
      </x:c>
      <x:c r="E399" s="40" t="n">
        <x:v>0.1629633245221747</x:v>
      </x:c>
      <x:c r="F399" s="40" t="n">
        <x:v>0.41185758245903303</x:v>
      </x:c>
      <x:c r="G399" s="40" t="n">
        <x:v>0.04415740132169958</x:v>
      </x:c>
      <x:c r="H399" s="40" t="n">
        <x:v>0.10222659849852693</x:v>
      </x:c>
    </x:row>
    <x:row r="400">
      <x:c r="A400" t="n">
        <x:v>351</x:v>
      </x:c>
      <x:c r="B400" s="40" t="n">
        <x:v>0.08198841771551538</x:v>
      </x:c>
      <x:c r="C400" s="40" t="n">
        <x:v>0.09740562959569372</x:v>
      </x:c>
      <x:c r="D400" s="40" t="n">
        <x:v>0.6420016155250421</x:v>
      </x:c>
      <x:c r="E400" s="40" t="n">
        <x:v>0.412798903411637</x:v>
      </x:c>
      <x:c r="F400" s="40" t="n">
        <x:v>0.037893580993503366</x:v>
      </x:c>
      <x:c r="G400" s="40" t="n">
        <x:v>0.09965474631773959</x:v>
      </x:c>
      <x:c r="H400" s="40" t="n">
        <x:v>0.3323336690474816</x:v>
      </x:c>
    </x:row>
    <x:row r="401">
      <x:c r="A401" t="n">
        <x:v>352</x:v>
      </x:c>
      <x:c r="B401" s="40" t="n">
        <x:v>0.08376452367365331</x:v>
      </x:c>
      <x:c r="C401" s="40" t="n">
        <x:v>0.08885416495851754</x:v>
      </x:c>
      <x:c r="D401" s="40" t="n">
        <x:v>0.7237778617336761</x:v>
      </x:c>
      <x:c r="E401" s="40" t="n">
        <x:v>0.17541386733308512</x:v>
      </x:c>
      <x:c r="F401" s="40" t="n">
        <x:v>0.10785400632578772</x:v>
      </x:c>
      <x:c r="G401" s="40" t="n">
        <x:v>0.08170208310181536</x:v>
      </x:c>
      <x:c r="H401" s="40" t="n">
        <x:v>0.44282647874134656</x:v>
      </x:c>
    </x:row>
    <x:row r="402">
      <x:c r="A402" t="n">
        <x:v>353</x:v>
      </x:c>
      <x:c r="B402" s="40" t="n">
        <x:v>0.06663789168886788</x:v>
      </x:c>
      <x:c r="C402" s="40" t="n">
        <x:v>0.05019647809518827</x:v>
      </x:c>
      <x:c r="D402" s="40" t="n">
        <x:v>0.9399871729157169</x:v>
      </x:c>
      <x:c r="E402" s="40" t="n">
        <x:v>0.062409468405982875</x:v>
      </x:c>
      <x:c r="F402" s="40" t="n">
        <x:v>0.01542871325666728</x:v>
      </x:c>
      <x:c r="G402" s="40" t="n">
        <x:v>0.1752979913021142</x:v>
      </x:c>
      <x:c r="H402" s="40" t="n">
        <x:v>0.25435582340493684</x:v>
      </x:c>
    </x:row>
    <x:row r="403">
      <x:c r="A403" t="n">
        <x:v>354</x:v>
      </x:c>
      <x:c r="B403" s="40" t="n">
        <x:v>0.07258963557588352</x:v>
      </x:c>
      <x:c r="C403" s="40" t="n">
        <x:v>0.05789061253256544</x:v>
      </x:c>
      <x:c r="D403" s="40" t="n">
        <x:v>0.9178653860700935</x:v>
      </x:c>
      <x:c r="E403" s="40" t="n">
        <x:v>0.005200668201999513</x:v>
      </x:c>
      <x:c r="F403" s="40" t="n">
        <x:v>0.06336143676866655</x:v>
      </x:c>
      <x:c r="G403" s="40" t="n">
        <x:v>0.11856025445359644</x:v>
      </x:c>
      <x:c r="H403" s="40" t="n">
        <x:v>0.1347027194766879</x:v>
      </x:c>
    </x:row>
    <x:row r="404">
      <x:c r="A404" t="n">
        <x:v>355</x:v>
      </x:c>
      <x:c r="B404" s="40" t="n">
        <x:v>0.09288035519811218</x:v>
      </x:c>
      <x:c r="C404" s="40" t="n">
        <x:v>0.09638272977996815</x:v>
      </x:c>
      <x:c r="D404" s="40" t="n">
        <x:v>0.7618222601900899</x:v>
      </x:c>
      <x:c r="E404" s="40" t="n">
        <x:v>0.11469353637200883</x:v>
      </x:c>
      <x:c r="F404" s="40" t="n">
        <x:v>0.006176737906848915</x:v>
      </x:c>
      <x:c r="G404" s="40" t="n">
        <x:v>0.030722237752804995</x:v>
      </x:c>
      <x:c r="H404" s="40" t="n">
        <x:v>0.20653731242138879</x:v>
      </x:c>
    </x:row>
    <x:row r="405">
      <x:c r="A405" t="n">
        <x:v>356</x:v>
      </x:c>
      <x:c r="B405" s="40" t="n">
        <x:v>0.0900786341966524</x:v>
      </x:c>
      <x:c r="C405" s="40" t="n">
        <x:v>0.12662291290620722</x:v>
      </x:c>
      <x:c r="D405" s="40" t="n">
        <x:v>0.5577567789418949</x:v>
      </x:c>
      <x:c r="E405" s="40" t="n">
        <x:v>0.09593335287727399</x:v>
      </x:c>
      <x:c r="F405" s="40" t="n">
        <x:v>0.4070086797084249</x:v>
      </x:c>
      <x:c r="G405" s="40" t="n">
        <x:v>0.22130023520591716</x:v>
      </x:c>
      <x:c r="H405" s="40" t="n">
        <x:v>0.09063932661902167</x:v>
      </x:c>
    </x:row>
    <x:row r="406">
      <x:c r="A406" t="n">
        <x:v>357</x:v>
      </x:c>
      <x:c r="B406" s="40" t="n">
        <x:v>0.07654465397138975</x:v>
      </x:c>
      <x:c r="C406" s="40" t="n">
        <x:v>0.07369164071730534</x:v>
      </x:c>
      <x:c r="D406" s="40" t="n">
        <x:v>0.77472569835369</x:v>
      </x:c>
      <x:c r="E406" s="40" t="n">
        <x:v>0.0005880312906889571</x:v>
      </x:c>
      <x:c r="F406" s="40" t="n">
        <x:v>0.14179775534885222</x:v>
      </x:c>
      <x:c r="G406" s="40" t="n">
        <x:v>0.2895329939510824</x:v>
      </x:c>
      <x:c r="H406" s="40" t="n">
        <x:v>0.2576886075147073</x:v>
      </x:c>
    </x:row>
    <x:row r="407">
      <x:c r="A407" t="n">
        <x:v>358</x:v>
      </x:c>
      <x:c r="B407" s="40" t="n">
        <x:v>0.09306139880052322</x:v>
      </x:c>
      <x:c r="C407" s="40" t="n">
        <x:v>0.1195364842853098</x:v>
      </x:c>
      <x:c r="D407" s="40" t="n">
        <x:v>0.6157747827934313</x:v>
      </x:c>
      <x:c r="E407" s="40" t="n">
        <x:v>0.09239848020467921</x:v>
      </x:c>
      <x:c r="F407" s="40" t="n">
        <x:v>0.35264746882888104</x:v>
      </x:c>
      <x:c r="G407" s="40" t="n">
        <x:v>0.21022420666508182</x:v>
      </x:c>
      <x:c r="H407" s="40" t="n">
        <x:v>0.13813539336168756</x:v>
      </x:c>
    </x:row>
    <x:row r="408">
      <x:c r="A408" t="n">
        <x:v>359</x:v>
      </x:c>
      <x:c r="B408" s="40" t="n">
        <x:v>0.0789178414560884</x:v>
      </x:c>
      <x:c r="C408" s="40" t="n">
        <x:v>0.09738463284479296</x:v>
      </x:c>
      <x:c r="D408" s="40" t="n">
        <x:v>0.610609636912768</x:v>
      </x:c>
      <x:c r="E408" s="40" t="n">
        <x:v>0.04304519644085852</x:v>
      </x:c>
      <x:c r="F408" s="40" t="n">
        <x:v>0.24879176309800097</x:v>
      </x:c>
      <x:c r="G408" s="40" t="n">
        <x:v>0.056073444087023944</x:v>
      </x:c>
      <x:c r="H408" s="40" t="n">
        <x:v>0.454670168373991</x:v>
      </x:c>
    </x:row>
    <x:row r="409">
      <x:c r="A409" t="n">
        <x:v>360</x:v>
      </x:c>
      <x:c r="B409" s="40" t="n">
        <x:v>0.08760749277485474</x:v>
      </x:c>
      <x:c r="C409" s="40" t="n">
        <x:v>0.08359598135335448</x:v>
      </x:c>
      <x:c r="D409" s="40" t="n">
        <x:v>0.815274197606794</x:v>
      </x:c>
      <x:c r="E409" s="40" t="n">
        <x:v>0.16042900351295394</x:v>
      </x:c>
      <x:c r="F409" s="40" t="n">
        <x:v>0.011270441564719609</x:v>
      </x:c>
      <x:c r="G409" s="40" t="n">
        <x:v>0.038425641691033664</x:v>
      </x:c>
      <x:c r="H409" s="40" t="n">
        <x:v>0.007302379947522649</x:v>
      </x:c>
    </x:row>
    <x:row r="410">
      <x:c r="A410" t="n">
        <x:v>361</x:v>
      </x:c>
      <x:c r="B410" s="40" t="n">
        <x:v>0.08460957837289948</x:v>
      </x:c>
      <x:c r="C410" s="40" t="n">
        <x:v>0.12185340247043257</x:v>
      </x:c>
      <x:c r="D410" s="40" t="n">
        <x:v>0.5347058916542212</x:v>
      </x:c>
      <x:c r="E410" s="40" t="n">
        <x:v>0.1097163642603603</x:v>
      </x:c>
      <x:c r="F410" s="40" t="n">
        <x:v>0.39305145510166395</x:v>
      </x:c>
      <x:c r="G410" s="40" t="n">
        <x:v>0.22644945014193632</x:v>
      </x:c>
      <x:c r="H410" s="40" t="n">
        <x:v>0.019151587107372324</x:v>
      </x:c>
    </x:row>
    <x:row r="411">
      <x:c r="A411" t="n">
        <x:v>362</x:v>
      </x:c>
      <x:c r="B411" s="40" t="n">
        <x:v>0.07160158067301887</x:v>
      </x:c>
      <x:c r="C411" s="40" t="n">
        <x:v>0.06942848067643634</x:v>
      </x:c>
      <x:c r="D411" s="40" t="n">
        <x:v>0.7511000386455438</x:v>
      </x:c>
      <x:c r="E411" s="40" t="n">
        <x:v>0.16317609279884235</x:v>
      </x:c>
      <x:c r="F411" s="40" t="n">
        <x:v>0.05089937212323015</x:v>
      </x:c>
      <x:c r="G411" s="40" t="n">
        <x:v>0.2097805140250893</x:v>
      </x:c>
      <x:c r="H411" s="40" t="n">
        <x:v>0.44496411089101634</x:v>
      </x:c>
    </x:row>
    <x:row r="412">
      <x:c r="A412" t="n">
        <x:v>363</x:v>
      </x:c>
      <x:c r="B412" s="40" t="n">
        <x:v>0.10045057477096395</x:v>
      </x:c>
      <x:c r="C412" s="40" t="n">
        <x:v>0.13789385490687964</x:v>
      </x:c>
      <x:c r="D412" s="40" t="n">
        <x:v>0.5873846131273599</x:v>
      </x:c>
      <x:c r="E412" s="40" t="n">
        <x:v>0.17412585142728437</x:v>
      </x:c>
      <x:c r="F412" s="40" t="n">
        <x:v>0.3758793391259507</x:v>
      </x:c>
      <x:c r="G412" s="40" t="n">
        <x:v>0.07076676242593254</x:v>
      </x:c>
      <x:c r="H412" s="40" t="n">
        <x:v>0.02929711684423231</x:v>
      </x:c>
    </x:row>
    <x:row r="413">
      <x:c r="A413" t="n">
        <x:v>364</x:v>
      </x:c>
      <x:c r="B413" s="40" t="n">
        <x:v>0.07444078275447893</x:v>
      </x:c>
      <x:c r="C413" s="40" t="n">
        <x:v>0.07053637732743816</x:v>
      </x:c>
      <x:c r="D413" s="40" t="n">
        <x:v>0.7795543049422138</x:v>
      </x:c>
      <x:c r="E413" s="40" t="n">
        <x:v>0.017131700675585813</x:v>
      </x:c>
      <x:c r="F413" s="40" t="n">
        <x:v>0.07454458249975807</x:v>
      </x:c>
      <x:c r="G413" s="40" t="n">
        <x:v>0.3921005975769854</x:v>
      </x:c>
      <x:c r="H413" s="40" t="n">
        <x:v>0.06836074656402898</x:v>
      </x:c>
    </x:row>
    <x:row r="414">
      <x:c r="A414" t="n">
        <x:v>365</x:v>
      </x:c>
      <x:c r="B414" s="40" t="n">
        <x:v>0.06581141684241322</x:v>
      </x:c>
      <x:c r="C414" s="40" t="n">
        <x:v>0.06827422105239143</x:v>
      </x:c>
      <x:c r="D414" s="40" t="n">
        <x:v>0.6789908397928665</x:v>
      </x:c>
      <x:c r="E414" s="40" t="n">
        <x:v>0.16740522121702375</x:v>
      </x:c>
      <x:c r="F414" s="40" t="n">
        <x:v>0.1276379312505378</x:v>
      </x:c>
      <x:c r="G414" s="40" t="n">
        <x:v>0.603615849779652</x:v>
      </x:c>
      <x:c r="H414" s="40" t="n">
        <x:v>0.04699299186349459</x:v>
      </x:c>
    </x:row>
    <x:row r="415">
      <x:c r="A415" t="n">
        <x:v>366</x:v>
      </x:c>
      <x:c r="B415" s="40" t="n">
        <x:v>0.08288118446173551</x:v>
      </x:c>
      <x:c r="C415" s="40" t="n">
        <x:v>0.0936121120339892</x:v>
      </x:c>
      <x:c r="D415" s="40" t="n">
        <x:v>0.6775548262906387</x:v>
      </x:c>
      <x:c r="E415" s="40" t="n">
        <x:v>0.023584925245278617</x:v>
      </x:c>
      <x:c r="F415" s="40" t="n">
        <x:v>0.29433639034708214</x:v>
      </x:c>
      <x:c r="G415" s="40" t="n">
        <x:v>0.38662048304936847</x:v>
      </x:c>
      <x:c r="H415" s="40" t="n">
        <x:v>0.03448052440619625</x:v>
      </x:c>
    </x:row>
    <x:row r="416">
      <x:c r="A416" t="n">
        <x:v>367</x:v>
      </x:c>
      <x:c r="B416" s="40" t="n">
        <x:v>0.09182606451760777</x:v>
      </x:c>
      <x:c r="C416" s="40" t="n">
        <x:v>0.139312266162083</x:v>
      </x:c>
      <x:c r="D416" s="40" t="n">
        <x:v>0.5194963828925163</x:v>
      </x:c>
      <x:c r="E416" s="40" t="n">
        <x:v>0.4995061510732919</x:v>
      </x:c>
      <x:c r="F416" s="40" t="n">
        <x:v>0.1930833738196674</x:v>
      </x:c>
      <x:c r="G416" s="40" t="n">
        <x:v>0.011361036462529488</x:v>
      </x:c>
      <x:c r="H416" s="40" t="n">
        <x:v>0.15569698623103176</x:v>
      </x:c>
    </x:row>
    <x:row r="417">
      <x:c r="A417" t="n">
        <x:v>368</x:v>
      </x:c>
      <x:c r="B417" s="40" t="n">
        <x:v>0.07173440753415798</x:v>
      </x:c>
      <x:c r="C417" s="40" t="n">
        <x:v>0.06505978375050081</x:v>
      </x:c>
      <x:c r="D417" s="40" t="n">
        <x:v>0.8035772387563367</x:v>
      </x:c>
      <x:c r="E417" s="40" t="n">
        <x:v>0.10042793000434674</x:v>
      </x:c>
      <x:c r="F417" s="40" t="n">
        <x:v>0.09043260791118467</x:v>
      </x:c>
      <x:c r="G417" s="40" t="n">
        <x:v>0.44412064688647773</x:v>
      </x:c>
      <x:c r="H417" s="40" t="n">
        <x:v>0.035757986742753566</x:v>
      </x:c>
    </x:row>
    <x:row r="418">
      <x:c r="A418" t="n">
        <x:v>369</x:v>
      </x:c>
      <x:c r="B418" s="40" t="n">
        <x:v>0.09750576468152614</x:v>
      </x:c>
      <x:c r="C418" s="40" t="n">
        <x:v>0.13647618698816016</x:v>
      </x:c>
      <x:c r="D418" s="40" t="n">
        <x:v>0.5719086988739749</x:v>
      </x:c>
      <x:c r="E418" s="40" t="n">
        <x:v>0.14214153885738168</x:v>
      </x:c>
      <x:c r="F418" s="40" t="n">
        <x:v>0.39644210078343284</x:v>
      </x:c>
      <x:c r="G418" s="40" t="n">
        <x:v>0.08961246382736641</x:v>
      </x:c>
      <x:c r="H418" s="40" t="n">
        <x:v>0.04507455777725499</x:v>
      </x:c>
    </x:row>
    <x:row r="419">
      <x:c r="A419" t="n">
        <x:v>370</x:v>
      </x:c>
      <x:c r="B419" s="40" t="n">
        <x:v>0.089391162902522</x:v>
      </x:c>
      <x:c r="C419" s="40" t="n">
        <x:v>0.11752763702285507</x:v>
      </x:c>
      <x:c r="D419" s="40" t="n">
        <x:v>0.5950712404357746</x:v>
      </x:c>
      <x:c r="E419" s="40" t="n">
        <x:v>0.1484207710051557</x:v>
      </x:c>
      <x:c r="F419" s="40" t="n">
        <x:v>0.30388330776835776</x:v>
      </x:c>
      <x:c r="G419" s="40" t="n">
        <x:v>0.09949418012621969</x:v>
      </x:c>
      <x:c r="H419" s="40" t="n">
        <x:v>0.2716208393362998</x:v>
      </x:c>
    </x:row>
    <x:row r="420">
      <x:c r="A420" t="n">
        <x:v>371</x:v>
      </x:c>
      <x:c r="B420" s="40" t="n">
        <x:v>0.07767854595642838</x:v>
      </x:c>
      <x:c r="C420" s="40" t="n">
        <x:v>0.0719030850335285</x:v>
      </x:c>
      <x:c r="D420" s="40" t="n">
        <x:v>0.8097663650374942</x:v>
      </x:c>
      <x:c r="E420" s="40" t="n">
        <x:v>0.20821192326139712</x:v>
      </x:c>
      <x:c r="F420" s="40" t="n">
        <x:v>0.014159423786567609</x:v>
      </x:c>
      <x:c r="G420" s="40" t="n">
        <x:v>0.07456922261176116</x:v>
      </x:c>
      <x:c r="H420" s="40" t="n">
        <x:v>0.3477735046774517</x:v>
      </x:c>
    </x:row>
    <x:row r="421">
      <x:c r="A421" t="n">
        <x:v>372</x:v>
      </x:c>
      <x:c r="B421" s="40" t="n">
        <x:v>0.0708465144357052</x:v>
      </x:c>
      <x:c r="C421" s="40" t="n">
        <x:v>0.05845945603564702</x:v>
      </x:c>
      <x:c r="D421" s="40" t="n">
        <x:v>0.8791164298641636</x:v>
      </x:c>
      <x:c r="E421" s="40" t="n">
        <x:v>0.027784963481030052</x:v>
      </x:c>
      <x:c r="F421" s="40" t="n">
        <x:v>0.008169039643369307</x:v>
      </x:c>
      <x:c r="G421" s="40" t="n">
        <x:v>0.045326592716995344</x:v>
      </x:c>
      <x:c r="H421" s="40" t="n">
        <x:v>0.5035936641252636</x:v>
      </x:c>
    </x:row>
    <x:row r="422">
      <x:c r="A422" t="n">
        <x:v>373</x:v>
      </x:c>
      <x:c r="B422" s="40" t="n">
        <x:v>0.07896967504450988</x:v>
      </x:c>
      <x:c r="C422" s="40" t="n">
        <x:v>0.10455831257475691</x:v>
      </x:c>
      <x:c r="D422" s="40" t="n">
        <x:v>0.5692118342873141</x:v>
      </x:c>
      <x:c r="E422" s="40" t="n">
        <x:v>0.06775840309120588</x:v>
      </x:c>
      <x:c r="F422" s="40" t="n">
        <x:v>0.27150695120275226</x:v>
      </x:c>
      <x:c r="G422" s="40" t="n">
        <x:v>0.005597209123347984</x:v>
      </x:c>
      <x:c r="H422" s="40" t="n">
        <x:v>0.35071477731161504</x:v>
      </x:c>
    </x:row>
    <x:row r="423">
      <x:c r="A423" t="n">
        <x:v>374</x:v>
      </x:c>
      <x:c r="B423" s="40" t="n">
        <x:v>0.07260627376476866</x:v>
      </x:c>
      <x:c r="C423" s="40" t="n">
        <x:v>0.0658979446642843</x:v>
      </x:c>
      <x:c r="D423" s="40" t="n">
        <x:v>0.8065870321404779</x:v>
      </x:c>
      <x:c r="E423" s="40" t="n">
        <x:v>0.1851629944428218</x:v>
      </x:c>
      <x:c r="F423" s="40" t="n">
        <x:v>0.0707743662164812</x:v>
      </x:c>
      <x:c r="G423" s="40" t="n">
        <x:v>0.17713334204179057</x:v>
      </x:c>
      <x:c r="H423" s="40" t="n">
        <x:v>0.12979488944218326</x:v>
      </x:c>
    </x:row>
    <x:row r="424">
      <x:c r="A424" t="n">
        <x:v>375</x:v>
      </x:c>
      <x:c r="B424" s="40" t="n">
        <x:v>0.07363786412546595</x:v>
      </x:c>
      <x:c r="C424" s="40" t="n">
        <x:v>0.0850464316335161</x:v>
      </x:c>
      <x:c r="D424" s="40" t="n">
        <x:v>0.6371110101962976</x:v>
      </x:c>
      <x:c r="E424" s="40" t="n">
        <x:v>0.09070656009026405</x:v>
      </x:c>
      <x:c r="F424" s="40" t="n">
        <x:v>0.20949852180015732</x:v>
      </x:c>
      <x:c r="G424" s="40" t="n">
        <x:v>0.17165906450892768</x:v>
      </x:c>
      <x:c r="H424" s="40" t="n">
        <x:v>0.3049466171213672</x:v>
      </x:c>
    </x:row>
    <x:row r="425">
      <x:c r="A425" t="n">
        <x:v>376</x:v>
      </x:c>
      <x:c r="B425" s="40" t="n">
        <x:v>0.06844585572263473</x:v>
      </x:c>
      <x:c r="C425" s="40" t="n">
        <x:v>0.07378246009283211</x:v>
      </x:c>
      <x:c r="D425" s="40" t="n">
        <x:v>0.6640061812407377</x:v>
      </x:c>
      <x:c r="E425" s="40" t="n">
        <x:v>0.408159768595712</x:v>
      </x:c>
      <x:c r="F425" s="40" t="n">
        <x:v>0.00954140451057469</x:v>
      </x:c>
      <x:c r="G425" s="40" t="n">
        <x:v>0.4548532795526092</x:v>
      </x:c>
      <x:c r="H425" s="40" t="n">
        <x:v>0.00716389385867522</x:v>
      </x:c>
    </x:row>
    <x:row r="426">
      <x:c r="A426" t="n">
        <x:v>377</x:v>
      </x:c>
      <x:c r="B426" s="40" t="n">
        <x:v>0.09269570957763193</x:v>
      </x:c>
      <x:c r="C426" s="40" t="n">
        <x:v>0.09807814416595523</x:v>
      </x:c>
      <x:c r="D426" s="40" t="n">
        <x:v>0.7467704863976148</x:v>
      </x:c>
      <x:c r="E426" s="40" t="n">
        <x:v>0.038744874499976795</x:v>
      </x:c>
      <x:c r="F426" s="40" t="n">
        <x:v>0.034237715055225444</x:v>
      </x:c>
      <x:c r="G426" s="40" t="n">
        <x:v>0.0903982574552926</x:v>
      </x:c>
      <x:c r="H426" s="40" t="n">
        <x:v>0.043800046275022056</x:v>
      </x:c>
    </x:row>
    <x:row r="427">
      <x:c r="A427" t="n">
        <x:v>378</x:v>
      </x:c>
      <x:c r="B427" s="40" t="n">
        <x:v>0.09068085171041915</x:v>
      </x:c>
      <x:c r="C427" s="40" t="n">
        <x:v>0.10652990398124106</x:v>
      </x:c>
      <x:c r="D427" s="40" t="n">
        <x:v>0.6686104360810784</x:v>
      </x:c>
      <x:c r="E427" s="40" t="n">
        <x:v>0.0948712671728193</x:v>
      </x:c>
      <x:c r="F427" s="40" t="n">
        <x:v>0.30120523068579924</x:v>
      </x:c>
      <x:c r="G427" s="40" t="n">
        <x:v>0.2605192767119586</x:v>
      </x:c>
      <x:c r="H427" s="40" t="n">
        <x:v>0.014580141768797341</x:v>
      </x:c>
    </x:row>
    <x:row r="428">
      <x:c r="A428" t="n">
        <x:v>379</x:v>
      </x:c>
      <x:c r="B428" s="40" t="n">
        <x:v>0.06988515669068734</x:v>
      </x:c>
      <x:c r="C428" s="40" t="n">
        <x:v>0.06901173624087908</x:v>
      </x:c>
      <x:c r="D428" s="40" t="n">
        <x:v>0.730764262484505</x:v>
      </x:c>
      <x:c r="E428" s="40" t="n">
        <x:v>0.14598785142562368</x:v>
      </x:c>
      <x:c r="F428" s="40" t="n">
        <x:v>0.09820937883570498</x:v>
      </x:c>
      <x:c r="G428" s="40" t="n">
        <x:v>0.5350725519956141</x:v>
      </x:c>
      <x:c r="H428" s="40" t="n">
        <x:v>0.08000091990402419</x:v>
      </x:c>
    </x:row>
    <x:row r="429">
      <x:c r="A429" t="n">
        <x:v>380</x:v>
      </x:c>
      <x:c r="B429" s="40" t="n">
        <x:v>0.09158330869609349</x:v>
      </x:c>
      <x:c r="C429" s="40" t="n">
        <x:v>0.09960969344397452</x:v>
      </x:c>
      <x:c r="D429" s="40" t="n">
        <x:v>0.7241209168344299</x:v>
      </x:c>
      <x:c r="E429" s="40" t="n">
        <x:v>0.07636549829968835</x:v>
      </x:c>
      <x:c r="F429" s="40" t="n">
        <x:v>0.07847434298486548</x:v>
      </x:c>
      <x:c r="G429" s="40" t="n">
        <x:v>0.2718267302998484</x:v>
      </x:c>
      <x:c r="H429" s="40" t="n">
        <x:v>0.035983695754789435</x:v>
      </x:c>
    </x:row>
    <x:row r="430">
      <x:c r="A430" t="n">
        <x:v>381</x:v>
      </x:c>
      <x:c r="B430" s="40" t="n">
        <x:v>0.09271021257123335</x:v>
      </x:c>
      <x:c r="C430" s="40" t="n">
        <x:v>0.09711527554679232</x:v>
      </x:c>
      <x:c r="D430" s="40" t="n">
        <x:v>0.7543238280994284</x:v>
      </x:c>
      <x:c r="E430" s="40" t="n">
        <x:v>0.10285747186059038</x:v>
      </x:c>
      <x:c r="F430" s="40" t="n">
        <x:v>0.14814789582966573</x:v>
      </x:c>
      <x:c r="G430" s="40" t="n">
        <x:v>0.1755698185956901</x:v>
      </x:c>
      <x:c r="H430" s="40" t="n">
        <x:v>0.08637586011101817</x:v>
      </x:c>
    </x:row>
    <x:row r="431">
      <x:c r="A431" t="n">
        <x:v>382</x:v>
      </x:c>
      <x:c r="B431" s="40" t="n">
        <x:v>0.0739916797467644</x:v>
      </x:c>
      <x:c r="C431" s="40" t="n">
        <x:v>0.07392366283902903</x:v>
      </x:c>
      <x:c r="D431" s="40" t="n">
        <x:v>0.7377588108922039</x:v>
      </x:c>
      <x:c r="E431" s="40" t="n">
        <x:v>0.045218391638813964</x:v>
      </x:c>
      <x:c r="F431" s="40" t="n">
        <x:v>0.05540675038235883</x:v>
      </x:c>
      <x:c r="G431" s="40" t="n">
        <x:v>0.45059714371623427</x:v>
      </x:c>
      <x:c r="H431" s="40" t="n">
        <x:v>0.07083947489261751</x:v>
      </x:c>
    </x:row>
    <x:row r="432">
      <x:c r="A432" t="n">
        <x:v>383</x:v>
      </x:c>
      <x:c r="B432" s="40" t="n">
        <x:v>0.09831707713988776</x:v>
      </x:c>
      <x:c r="C432" s="40" t="n">
        <x:v>0.16915309779536408</x:v>
      </x:c>
      <x:c r="D432" s="40" t="n">
        <x:v>0.46622398297102297</x:v>
      </x:c>
      <x:c r="E432" s="40" t="n">
        <x:v>0.11872517086216723</x:v>
      </x:c>
      <x:c r="F432" s="40" t="n">
        <x:v>0.5498957023666414</x:v>
      </x:c>
      <x:c r="G432" s="40" t="n">
        <x:v>0.09220584871383807</x:v>
      </x:c>
      <x:c r="H432" s="40" t="n">
        <x:v>0.17555759454518535</x:v>
      </x:c>
    </x:row>
    <x:row r="433">
      <x:c r="A433" t="n">
        <x:v>384</x:v>
      </x:c>
      <x:c r="B433" s="40" t="n">
        <x:v>0.06496106660981271</x:v>
      </x:c>
      <x:c r="C433" s="40" t="n">
        <x:v>0.07347383099707566</x:v>
      </x:c>
      <x:c r="D433" s="40" t="n">
        <x:v>0.6193663762786208</x:v>
      </x:c>
      <x:c r="E433" s="40" t="n">
        <x:v>0.006725406160669216</x:v>
      </x:c>
      <x:c r="F433" s="40" t="n">
        <x:v>0.05533086308326022</x:v>
      </x:c>
      <x:c r="G433" s="40" t="n">
        <x:v>0.6007444349086113</x:v>
      </x:c>
      <x:c r="H433" s="40" t="n">
        <x:v>0.1457742649426963</x:v>
      </x:c>
    </x:row>
    <x:row r="434">
      <x:c r="A434" t="n">
        <x:v>385</x:v>
      </x:c>
      <x:c r="B434" s="40" t="n">
        <x:v>0.09414623033636463</x:v>
      </x:c>
      <x:c r="C434" s="40" t="n">
        <x:v>0.15164282736732565</x:v>
      </x:c>
      <x:c r="D434" s="40" t="n">
        <x:v>0.4925546791711454</x:v>
      </x:c>
      <x:c r="E434" s="40" t="n">
        <x:v>0.35938777124143956</x:v>
      </x:c>
      <x:c r="F434" s="40" t="n">
        <x:v>0.34308672947306906</x:v>
      </x:c>
      <x:c r="G434" s="40" t="n">
        <x:v>0.04080003437603216</x:v>
      </x:c>
      <x:c r="H434" s="40" t="n">
        <x:v>0.17968671008127285</x:v>
      </x:c>
    </x:row>
    <x:row r="435">
      <x:c r="A435" t="n">
        <x:v>386</x:v>
      </x:c>
      <x:c r="B435" s="40" t="n">
        <x:v>0.09212586796496272</x:v>
      </x:c>
      <x:c r="C435" s="40" t="n">
        <x:v>0.1075057829252979</x:v>
      </x:c>
      <x:c r="D435" s="40" t="n">
        <x:v>0.6759824433036674</x:v>
      </x:c>
      <x:c r="E435" s="40" t="n">
        <x:v>0.4198033315184509</x:v>
      </x:c>
      <x:c r="F435" s="40" t="n">
        <x:v>0.0711983431586013</x:v>
      </x:c>
      <x:c r="G435" s="40" t="n">
        <x:v>0.1358010893812185</x:v>
      </x:c>
      <x:c r="H435" s="40" t="n">
        <x:v>0.11364327902446655</x:v>
      </x:c>
    </x:row>
    <x:row r="436">
      <x:c r="A436" t="n">
        <x:v>387</x:v>
      </x:c>
      <x:c r="B436" s="40" t="n">
        <x:v>0.06261099558159543</x:v>
      </x:c>
      <x:c r="C436" s="40" t="n">
        <x:v>0.05419018228341301</x:v>
      </x:c>
      <x:c r="D436" s="40" t="n">
        <x:v>0.7964016286573588</x:v>
      </x:c>
      <x:c r="E436" s="40" t="n">
        <x:v>0.14287425677845197</x:v>
      </x:c>
      <x:c r="F436" s="40" t="n">
        <x:v>0.025672022736499978</x:v>
      </x:c>
      <x:c r="G436" s="40" t="n">
        <x:v>0.23935582364704844</x:v>
      </x:c>
      <x:c r="H436" s="40" t="n">
        <x:v>0.32784911825720503</x:v>
      </x:c>
    </x:row>
    <x:row r="437">
      <x:c r="A437" t="n">
        <x:v>388</x:v>
      </x:c>
      <x:c r="B437" s="40" t="n">
        <x:v>0.07773351061714208</x:v>
      </x:c>
      <x:c r="C437" s="40" t="n">
        <x:v>0.10455358299975416</x:v>
      </x:c>
      <x:c r="D437" s="40" t="n">
        <x:v>0.5574143208792085</x:v>
      </x:c>
      <x:c r="E437" s="40" t="n">
        <x:v>0.20084195824415924</x:v>
      </x:c>
      <x:c r="F437" s="40" t="n">
        <x:v>0.23572724852932328</x:v>
      </x:c>
      <x:c r="G437" s="40" t="n">
        <x:v>0.07478573855180562</x:v>
      </x:c>
      <x:c r="H437" s="40" t="n">
        <x:v>0.01721396061084413</x:v>
      </x:c>
    </x:row>
    <x:row r="438">
      <x:c r="A438" t="n">
        <x:v>389</x:v>
      </x:c>
      <x:c r="B438" s="40" t="n">
        <x:v>0.06435615218598402</x:v>
      </x:c>
      <x:c r="C438" s="40" t="n">
        <x:v>0.06179695806730927</x:v>
      </x:c>
      <x:c r="D438" s="40" t="n">
        <x:v>0.7266102966303011</x:v>
      </x:c>
      <x:c r="E438" s="40" t="n">
        <x:v>0.01919848184457642</x:v>
      </x:c>
      <x:c r="F438" s="40" t="n">
        <x:v>0.02385393714824353</x:v>
      </x:c>
      <x:c r="G438" s="40" t="n">
        <x:v>0.4218606554813768</x:v>
      </x:c>
      <x:c r="H438" s="40" t="n">
        <x:v>0.2765830095477581</x:v>
      </x:c>
    </x:row>
    <x:row r="439">
      <x:c r="A439" t="n">
        <x:v>390</x:v>
      </x:c>
      <x:c r="B439" s="40" t="n">
        <x:v>0.06938432548704963</x:v>
      </x:c>
      <x:c r="C439" s="40" t="n">
        <x:v>0.0749838939827432</x:v>
      </x:c>
      <x:c r="D439" s="40" t="n">
        <x:v>0.6658827206905856</x:v>
      </x:c>
      <x:c r="E439" s="40" t="n">
        <x:v>0.3972236571432941</x:v>
      </x:c>
      <x:c r="F439" s="40" t="n">
        <x:v>0.004687855610191748</x:v>
      </x:c>
      <x:c r="G439" s="40" t="n">
        <x:v>0.36784583401556165</x:v>
      </x:c>
      <x:c r="H439" s="40" t="n">
        <x:v>0.11536193981845602</x:v>
      </x:c>
    </x:row>
    <x:row r="440">
      <x:c r="A440" t="n">
        <x:v>391</x:v>
      </x:c>
      <x:c r="B440" s="40" t="n">
        <x:v>0.08187723022117001</x:v>
      </x:c>
      <x:c r="C440" s="40" t="n">
        <x:v>0.08768081621392787</x:v>
      </x:c>
      <x:c r="D440" s="40" t="n">
        <x:v>0.711938902519113</x:v>
      </x:c>
      <x:c r="E440" s="40" t="n">
        <x:v>0.01343639049598227</x:v>
      </x:c>
      <x:c r="F440" s="40" t="n">
        <x:v>0.04734390005433424</x:v>
      </x:c>
      <x:c r="G440" s="40" t="n">
        <x:v>0.2931489566568031</x:v>
      </x:c>
      <x:c r="H440" s="40" t="n">
        <x:v>0.27806481050113285</x:v>
      </x:c>
    </x:row>
    <x:row r="441">
      <x:c r="A441" t="n">
        <x:v>392</x:v>
      </x:c>
      <x:c r="B441" s="40" t="n">
        <x:v>0.0771768350440308</x:v>
      </x:c>
      <x:c r="C441" s="40" t="n">
        <x:v>0.08440585744147096</x:v>
      </x:c>
      <x:c r="D441" s="40" t="n">
        <x:v>0.6838742077848229</x:v>
      </x:c>
      <x:c r="E441" s="40" t="n">
        <x:v>0.32640616789162424</x:v>
      </x:c>
      <x:c r="F441" s="40" t="n">
        <x:v>0.08968230791810121</x:v>
      </x:c>
      <x:c r="G441" s="40" t="n">
        <x:v>0.18460608566095457</x:v>
      </x:c>
      <x:c r="H441" s="40" t="n">
        <x:v>0.008543281252989178</x:v>
      </x:c>
    </x:row>
    <x:row r="442">
      <x:c r="A442" t="n">
        <x:v>393</x:v>
      </x:c>
      <x:c r="B442" s="40" t="n">
        <x:v>0.06676409146712835</x:v>
      </x:c>
      <x:c r="C442" s="40" t="n">
        <x:v>0.06720993797654422</x:v>
      </x:c>
      <x:c r="D442" s="40" t="n">
        <x:v>0.7039174077171909</x:v>
      </x:c>
      <x:c r="E442" s="40" t="n">
        <x:v>0.22079000086617961</x:v>
      </x:c>
      <x:c r="F442" s="40" t="n">
        <x:v>0.05031074631657225</x:v>
      </x:c>
      <x:c r="G442" s="40" t="n">
        <x:v>0.12206009039683853</x:v>
      </x:c>
      <x:c r="H442" s="40" t="n">
        <x:v>0.031246555448645217</x:v>
      </x:c>
    </x:row>
    <x:row r="443">
      <x:c r="A443" t="n">
        <x:v>394</x:v>
      </x:c>
      <x:c r="B443" s="40" t="n">
        <x:v>0.08306549526861806</x:v>
      </x:c>
      <x:c r="C443" s="40" t="n">
        <x:v>0.08277118588893162</x:v>
      </x:c>
      <x:c r="D443" s="40" t="n">
        <x:v>0.7685240755174226</x:v>
      </x:c>
      <x:c r="E443" s="40" t="n">
        <x:v>0.10311645861723771</x:v>
      </x:c>
      <x:c r="F443" s="40" t="n">
        <x:v>0.09152278988432161</x:v>
      </x:c>
      <x:c r="G443" s="40" t="n">
        <x:v>0.24265813508355333</x:v>
      </x:c>
      <x:c r="H443" s="40" t="n">
        <x:v>0.2620923510256377</x:v>
      </x:c>
    </x:row>
    <x:row r="444">
      <x:c r="A444" t="n">
        <x:v>395</x:v>
      </x:c>
      <x:c r="B444" s="40" t="n">
        <x:v>0.0819859385371989</x:v>
      </x:c>
      <x:c r="C444" s="40" t="n">
        <x:v>0.07393870209469146</x:v>
      </x:c>
      <x:c r="D444" s="40" t="n">
        <x:v>0.8457288349918485</x:v>
      </x:c>
      <x:c r="E444" s="40" t="n">
        <x:v>0.10873634445502849</x:v>
      </x:c>
      <x:c r="F444" s="40" t="n">
        <x:v>0.019623678476231515</x:v>
      </x:c>
      <x:c r="G444" s="40" t="n">
        <x:v>0.12384668588696081</x:v>
      </x:c>
      <x:c r="H444" s="40" t="n">
        <x:v>0.11743164969201109</x:v>
      </x:c>
    </x:row>
    <x:row r="445">
      <x:c r="A445" t="n">
        <x:v>396</x:v>
      </x:c>
      <x:c r="B445" s="40" t="n">
        <x:v>0.06639970271252445</x:v>
      </x:c>
      <x:c r="C445" s="40" t="n">
        <x:v>0.06525568406046611</x:v>
      </x:c>
      <x:c r="D445" s="40" t="n">
        <x:v>0.7194140592439139</x:v>
      </x:c>
      <x:c r="E445" s="40" t="n">
        <x:v>0.13486369417566704</x:v>
      </x:c>
      <x:c r="F445" s="40" t="n">
        <x:v>0.04254146329927051</x:v>
      </x:c>
      <x:c r="G445" s="40" t="n">
        <x:v>0.35786635182031545</x:v>
      </x:c>
      <x:c r="H445" s="40" t="n">
        <x:v>0.4075309507170084</x:v>
      </x:c>
    </x:row>
    <x:row r="446">
      <x:c r="A446" t="n">
        <x:v>397</x:v>
      </x:c>
      <x:c r="B446" s="40" t="n">
        <x:v>0.0786847646937205</x:v>
      </x:c>
      <x:c r="C446" s="40" t="n">
        <x:v>0.09226518479876865</x:v>
      </x:c>
      <x:c r="D446" s="40" t="n">
        <x:v>0.641963907285913</x:v>
      </x:c>
      <x:c r="E446" s="40" t="n">
        <x:v>0.038785917043278585</x:v>
      </x:c>
      <x:c r="F446" s="40" t="n">
        <x:v>0.285160974947669</x:v>
      </x:c>
      <x:c r="G446" s="40" t="n">
        <x:v>0.2915854060005275</x:v>
      </x:c>
      <x:c r="H446" s="40" t="n">
        <x:v>0.17549295865526782</x:v>
      </x:c>
    </x:row>
    <x:row r="447">
      <x:c r="A447" t="n">
        <x:v>398</x:v>
      </x:c>
      <x:c r="B447" s="40" t="n">
        <x:v>0.06692624803334384</x:v>
      </x:c>
      <x:c r="C447" s="40" t="n">
        <x:v>0.06123511584746723</x:v>
      </x:c>
      <x:c r="D447" s="40" t="n">
        <x:v>0.7752480128844438</x:v>
      </x:c>
      <x:c r="E447" s="40" t="n">
        <x:v>0.08014768903971663</x:v>
      </x:c>
      <x:c r="F447" s="40" t="n">
        <x:v>0.10306288502597724</x:v>
      </x:c>
      <x:c r="G447" s="40" t="n">
        <x:v>0.1466056864557671</x:v>
      </x:c>
      <x:c r="H447" s="40" t="n">
        <x:v>0.21158086472169552</x:v>
      </x:c>
    </x:row>
    <x:row r="448">
      <x:c r="A448" t="n">
        <x:v>399</x:v>
      </x:c>
      <x:c r="B448" s="40" t="n">
        <x:v>0.0950272512133674</x:v>
      </x:c>
      <x:c r="C448" s="40" t="n">
        <x:v>0.12764346981925664</x:v>
      </x:c>
      <x:c r="D448" s="40" t="n">
        <x:v>0.5920663639631021</x:v>
      </x:c>
      <x:c r="E448" s="40" t="n">
        <x:v>0.04864246584675642</x:v>
      </x:c>
      <x:c r="F448" s="40" t="n">
        <x:v>0.3856941519652232</x:v>
      </x:c>
      <x:c r="G448" s="40" t="n">
        <x:v>0.02298087226913033</x:v>
      </x:c>
      <x:c r="H448" s="40" t="n">
        <x:v>0.01878245827155889</x:v>
      </x:c>
    </x:row>
    <x:row r="449">
      <x:c r="A449" t="n">
        <x:v>400</x:v>
      </x:c>
      <x:c r="B449" s="40" t="n">
        <x:v>0.09319965341040014</x:v>
      </x:c>
      <x:c r="C449" s="40" t="n">
        <x:v>0.10526930617046587</x:v>
      </x:c>
      <x:c r="D449" s="40" t="n">
        <x:v>0.7005442511147085</x:v>
      </x:c>
      <x:c r="E449" s="40" t="n">
        <x:v>0.35037615033439373</x:v>
      </x:c>
      <x:c r="F449" s="40" t="n">
        <x:v>0.09874195455873765</x:v>
      </x:c>
      <x:c r="G449" s="40" t="n">
        <x:v>0.07066724736921277</x:v>
      </x:c>
      <x:c r="H449" s="40" t="n">
        <x:v>0.01862544121966362</x:v>
      </x:c>
    </x:row>
    <x:row r="450">
      <x:c r="A450" t="n">
        <x:v>401</x:v>
      </x:c>
      <x:c r="B450" s="40" t="n">
        <x:v>0.08804654678485736</x:v>
      </x:c>
      <x:c r="C450" s="40" t="n">
        <x:v>0.10442465993006501</x:v>
      </x:c>
      <x:c r="D450" s="40" t="n">
        <x:v>0.6568630501353695</x:v>
      </x:c>
      <x:c r="E450" s="40" t="n">
        <x:v>0.06432126688299877</x:v>
      </x:c>
      <x:c r="F450" s="40" t="n">
        <x:v>0.2944340040497142</x:v>
      </x:c>
      <x:c r="G450" s="40" t="n">
        <x:v>0.13175244724343105</x:v>
      </x:c>
      <x:c r="H450" s="40" t="n">
        <x:v>0.11310483320597474</x:v>
      </x:c>
    </x:row>
    <x:row r="451">
      <x:c r="A451" t="n">
        <x:v>402</x:v>
      </x:c>
      <x:c r="B451" s="40" t="n">
        <x:v>0.08843606662060108</x:v>
      </x:c>
      <x:c r="C451" s="40" t="n">
        <x:v>0.0874438714121267</x:v>
      </x:c>
      <x:c r="D451" s="40" t="n">
        <x:v>0.7888742727507886</x:v>
      </x:c>
      <x:c r="E451" s="40" t="n">
        <x:v>0.0827535329395592</x:v>
      </x:c>
      <x:c r="F451" s="40" t="n">
        <x:v>0.0338229244228973</x:v>
      </x:c>
      <x:c r="G451" s="40" t="n">
        <x:v>0.003303767457979744</x:v>
      </x:c>
      <x:c r="H451" s="40" t="n">
        <x:v>0.38241343948720397</x:v>
      </x:c>
    </x:row>
    <x:row r="452">
      <x:c r="A452" t="n">
        <x:v>403</x:v>
      </x:c>
      <x:c r="B452" s="40" t="n">
        <x:v>0.10264809703187926</x:v>
      </x:c>
      <x:c r="C452" s="40" t="n">
        <x:v>0.12340810332480798</x:v>
      </x:c>
      <x:c r="D452" s="40" t="n">
        <x:v>0.6741392877505562</x:v>
      </x:c>
      <x:c r="E452" s="40" t="n">
        <x:v>0.025763177933192855</x:v>
      </x:c>
      <x:c r="F452" s="40" t="n">
        <x:v>0.045250172375486855</x:v>
      </x:c>
      <x:c r="G452" s="40" t="n">
        <x:v>0.1012165183447041</x:v>
      </x:c>
      <x:c r="H452" s="40" t="n">
        <x:v>0.042194832099528665</x:v>
      </x:c>
    </x:row>
    <x:row r="453">
      <x:c r="A453" t="n">
        <x:v>404</x:v>
      </x:c>
      <x:c r="B453" s="40" t="n">
        <x:v>0.06754121119836534</x:v>
      </x:c>
      <x:c r="C453" s="40" t="n">
        <x:v>0.06909171036691238</x:v>
      </x:c>
      <x:c r="D453" s="40" t="n">
        <x:v>0.6959932644473649</x:v>
      </x:c>
      <x:c r="E453" s="40" t="n">
        <x:v>0.10327753749156385</x:v>
      </x:c>
      <x:c r="F453" s="40" t="n">
        <x:v>0.0924590801769106</x:v>
      </x:c>
      <x:c r="G453" s="40" t="n">
        <x:v>0.059519352666659836</x:v>
      </x:c>
      <x:c r="H453" s="40" t="n">
        <x:v>0.4507714793950696</x:v>
      </x:c>
    </x:row>
    <x:row r="454">
      <x:c r="A454" t="n">
        <x:v>405</x:v>
      </x:c>
      <x:c r="B454" s="40" t="n">
        <x:v>0.1013249436428466</x:v>
      </x:c>
      <x:c r="C454" s="40" t="n">
        <x:v>0.17812007870460655</x:v>
      </x:c>
      <x:c r="D454" s="40" t="n">
        <x:v>0.4596399130542439</x:v>
      </x:c>
      <x:c r="E454" s="40" t="n">
        <x:v>0.13652581093224367</x:v>
      </x:c>
      <x:c r="F454" s="40" t="n">
        <x:v>0.5660155022691302</x:v>
      </x:c>
      <x:c r="G454" s="40" t="n">
        <x:v>0.0376088059553896</x:v>
      </x:c>
      <x:c r="H454" s="40" t="n">
        <x:v>0.19819829434466713</x:v>
      </x:c>
    </x:row>
    <x:row r="455">
      <x:c r="A455" t="n">
        <x:v>406</x:v>
      </x:c>
      <x:c r="B455" s="40" t="n">
        <x:v>0.10723579441909846</x:v>
      </x:c>
      <x:c r="C455" s="40" t="n">
        <x:v>0.20132814621557454</x:v>
      </x:c>
      <x:c r="D455" s="40" t="n">
        <x:v>0.43601428769556505</x:v>
      </x:c>
      <x:c r="E455" s="40" t="n">
        <x:v>0.35478289029768567</x:v>
      </x:c>
      <x:c r="F455" s="40" t="n">
        <x:v>0.559043063187588</x:v>
      </x:c>
      <x:c r="G455" s="40" t="n">
        <x:v>0.007325454753307151</x:v>
      </x:c>
      <x:c r="H455" s="40" t="n">
        <x:v>0.01761436302749186</x:v>
      </x:c>
    </x:row>
    <x:row r="456">
      <x:c r="A456" t="n">
        <x:v>407</x:v>
      </x:c>
      <x:c r="B456" s="40" t="n">
        <x:v>0.09989235055396584</x:v>
      </x:c>
      <x:c r="C456" s="40" t="n">
        <x:v>0.11643272102554278</x:v>
      </x:c>
      <x:c r="D456" s="40" t="n">
        <x:v>0.6908582372001187</x:v>
      </x:c>
      <x:c r="E456" s="40" t="n">
        <x:v>0.09095560952460036</x:v>
      </x:c>
      <x:c r="F456" s="40" t="n">
        <x:v>0.27575981628996643</x:v>
      </x:c>
      <x:c r="G456" s="40" t="n">
        <x:v>0.15986055334207477</x:v>
      </x:c>
      <x:c r="H456" s="40" t="n">
        <x:v>0.017255470566396737</x:v>
      </x:c>
    </x:row>
    <x:row r="457">
      <x:c r="A457" t="n">
        <x:v>408</x:v>
      </x:c>
      <x:c r="B457" s="40" t="n">
        <x:v>0.08326761394610235</x:v>
      </x:c>
      <x:c r="C457" s="40" t="n">
        <x:v>0.0772928731104729</x:v>
      </x:c>
      <x:c r="D457" s="40" t="n">
        <x:v>0.8256099847789157</x:v>
      </x:c>
      <x:c r="E457" s="40" t="n">
        <x:v>0.10796014802524474</x:v>
      </x:c>
      <x:c r="F457" s="40" t="n">
        <x:v>0.06392160717672059</x:v>
      </x:c>
      <x:c r="G457" s="40" t="n">
        <x:v>0.036304177792029164</x:v>
      </x:c>
      <x:c r="H457" s="40" t="n">
        <x:v>0.29135599613263563</x:v>
      </x:c>
    </x:row>
    <x:row r="458">
      <x:c r="A458" t="n">
        <x:v>409</x:v>
      </x:c>
      <x:c r="B458" s="40" t="n">
        <x:v>0.10236855565173927</x:v>
      </x:c>
      <x:c r="C458" s="40" t="n">
        <x:v>0.1516635761895471</x:v>
      </x:c>
      <x:c r="D458" s="40" t="n">
        <x:v>0.5467015323063953</x:v>
      </x:c>
      <x:c r="E458" s="40" t="n">
        <x:v>0.18642647090392123</x:v>
      </x:c>
      <x:c r="F458" s="40" t="n">
        <x:v>0.4259323039653562</x:v>
      </x:c>
      <x:c r="G458" s="40" t="n">
        <x:v>0.02635082192917645</x:v>
      </x:c>
      <x:c r="H458" s="40" t="n">
        <x:v>0.04780123579611733</x:v>
      </x:c>
    </x:row>
    <x:row r="459">
      <x:c r="A459" t="n">
        <x:v>410</x:v>
      </x:c>
      <x:c r="B459" s="40" t="n">
        <x:v>0.08524432742234014</x:v>
      </x:c>
      <x:c r="C459" s="40" t="n">
        <x:v>0.09060018562800948</x:v>
      </x:c>
      <x:c r="D459" s="40" t="n">
        <x:v>0.7261627645954243</x:v>
      </x:c>
      <x:c r="E459" s="40" t="n">
        <x:v>0.005674556799603713</x:v>
      </x:c>
      <x:c r="F459" s="40" t="n">
        <x:v>0.0748691214183396</x:v>
      </x:c>
      <x:c r="G459" s="40" t="n">
        <x:v>0.22949036067698378</x:v>
      </x:c>
      <x:c r="H459" s="40" t="n">
        <x:v>0.3147101337790776</x:v>
      </x:c>
    </x:row>
    <x:row r="460">
      <x:c r="A460" t="n">
        <x:v>411</x:v>
      </x:c>
      <x:c r="B460" s="40" t="n">
        <x:v>0.07564780794788058</x:v>
      </x:c>
      <x:c r="C460" s="40" t="n">
        <x:v>0.08174496918081929</x:v>
      </x:c>
      <x:c r="D460" s="40" t="n">
        <x:v>0.6874302156715452</x:v>
      </x:c>
      <x:c r="E460" s="40" t="n">
        <x:v>0.1163482243961738</x:v>
      </x:c>
      <x:c r="F460" s="40" t="n">
        <x:v>0.1512779542347478</x:v>
      </x:c>
      <x:c r="G460" s="40" t="n">
        <x:v>0.18270768665623396</x:v>
      </x:c>
      <x:c r="H460" s="40" t="n">
        <x:v>0.4377456140279563</x:v>
      </x:c>
    </x:row>
    <x:row r="461">
      <x:c r="A461" t="n">
        <x:v>412</x:v>
      </x:c>
      <x:c r="B461" s="40" t="n">
        <x:v>0.10903919662695344</x:v>
      </x:c>
      <x:c r="C461" s="40" t="n">
        <x:v>0.12902209616347393</x:v>
      </x:c>
      <x:c r="D461" s="40" t="n">
        <x:v>0.694341148818421</x:v>
      </x:c>
      <x:c r="E461" s="40" t="n">
        <x:v>0.09154019754805355</x:v>
      </x:c>
      <x:c r="F461" s="40" t="n">
        <x:v>0.21270909877577654</x:v>
      </x:c>
      <x:c r="G461" s="40" t="n">
        <x:v>0.030022263066611134</x:v>
      </x:c>
      <x:c r="H461" s="40" t="n">
        <x:v>0.10255431700148351</x:v>
      </x:c>
    </x:row>
    <x:row r="462">
      <x:c r="A462" t="n">
        <x:v>413</x:v>
      </x:c>
      <x:c r="B462" s="40" t="n">
        <x:v>0.09406484842153479</x:v>
      </x:c>
      <x:c r="C462" s="40" t="n">
        <x:v>0.14226101874445218</x:v>
      </x:c>
      <x:c r="D462" s="40" t="n">
        <x:v>0.5244655417638662</x:v>
      </x:c>
      <x:c r="E462" s="40" t="n">
        <x:v>0.677080456962475</x:v>
      </x:c>
      <x:c r="F462" s="40" t="n">
        <x:v>0.0729727292129355</x:v>
      </x:c>
      <x:c r="G462" s="40" t="n">
        <x:v>0.02409750275387052</x:v>
      </x:c>
      <x:c r="H462" s="40" t="n">
        <x:v>0.14242406015336048</x:v>
      </x:c>
    </x:row>
    <x:row r="463">
      <x:c r="A463" t="n">
        <x:v>414</x:v>
      </x:c>
      <x:c r="B463" s="40" t="n">
        <x:v>0.10616522669727074</x:v>
      </x:c>
      <x:c r="C463" s="40" t="n">
        <x:v>0.1317699895933829</x:v>
      </x:c>
      <x:c r="D463" s="40" t="n">
        <x:v>0.6580510540450022</x:v>
      </x:c>
      <x:c r="E463" s="40" t="n">
        <x:v>0.02816921627414157</x:v>
      </x:c>
      <x:c r="F463" s="40" t="n">
        <x:v>0.33447627022562526</x:v>
      </x:c>
      <x:c r="G463" s="40" t="n">
        <x:v>0.05064471557096975</x:v>
      </x:c>
      <x:c r="H463" s="40" t="n">
        <x:v>0.15798235292113086</x:v>
      </x:c>
    </x:row>
    <x:row r="464">
      <x:c r="A464" t="n">
        <x:v>415</x:v>
      </x:c>
      <x:c r="B464" s="40" t="n">
        <x:v>0.10071594992092356</x:v>
      </x:c>
      <x:c r="C464" s="40" t="n">
        <x:v>0.11088878933758747</x:v>
      </x:c>
      <x:c r="D464" s="40" t="n">
        <x:v>0.7328252409689927</x:v>
      </x:c>
      <x:c r="E464" s="40" t="n">
        <x:v>0.07874804447284627</x:v>
      </x:c>
      <x:c r="F464" s="40" t="n">
        <x:v>0.1717515559162444</x:v>
      </x:c>
      <x:c r="G464" s="40" t="n">
        <x:v>0.040815641735296296</x:v>
      </x:c>
      <x:c r="H464" s="40" t="n">
        <x:v>0.0855772774642126</x:v>
      </x:c>
    </x:row>
    <x:row r="465">
      <x:c r="A465" t="n">
        <x:v>416</x:v>
      </x:c>
      <x:c r="B465" s="40" t="n">
        <x:v>0.07818799630361073</x:v>
      </x:c>
      <x:c r="C465" s="40" t="n">
        <x:v>0.1122835909545271</x:v>
      </x:c>
      <x:c r="D465" s="40" t="n">
        <x:v>0.523087564714161</x:v>
      </x:c>
      <x:c r="E465" s="40" t="n">
        <x:v>0.0933240228755107</x:v>
      </x:c>
      <x:c r="F465" s="40" t="n">
        <x:v>0.32828759395503143</x:v>
      </x:c>
      <x:c r="G465" s="40" t="n">
        <x:v>0.10043430423177264</x:v>
      </x:c>
      <x:c r="H465" s="40" t="n">
        <x:v>0.04032379505654504</x:v>
      </x:c>
    </x:row>
    <x:row r="466">
      <x:c r="A466" t="n">
        <x:v>417</x:v>
      </x:c>
      <x:c r="B466" s="40" t="n">
        <x:v>0.07075000254259343</x:v>
      </x:c>
      <x:c r="C466" s="40" t="n">
        <x:v>0.07296434588588573</x:v>
      </x:c>
      <x:c r="D466" s="40" t="n">
        <x:v>0.7030304426900926</x:v>
      </x:c>
      <x:c r="E466" s="40" t="n">
        <x:v>0.00932369490591415</x:v>
      </x:c>
      <x:c r="F466" s="40" t="n">
        <x:v>0.05554441711246633</x:v>
      </x:c>
      <x:c r="G466" s="40" t="n">
        <x:v>0.10081872171790052</x:v>
      </x:c>
      <x:c r="H466" s="40" t="n">
        <x:v>0.7581298477249518</x:v>
      </x:c>
    </x:row>
    <x:row r="467">
      <x:c r="A467" t="n">
        <x:v>418</x:v>
      </x:c>
      <x:c r="B467" s="40" t="n">
        <x:v>0.09717905743342091</x:v>
      </x:c>
      <x:c r="C467" s="40" t="n">
        <x:v>0.11935448822038149</x:v>
      </x:c>
      <x:c r="D467" s="40" t="n">
        <x:v>0.6512131419478707</x:v>
      </x:c>
      <x:c r="E467" s="40" t="n">
        <x:v>0.10703302183258968</x:v>
      </x:c>
      <x:c r="F467" s="40" t="n">
        <x:v>0.29676117133603563</x:v>
      </x:c>
      <x:c r="G467" s="40" t="n">
        <x:v>0.01269346640495447</x:v>
      </x:c>
      <x:c r="H467" s="40" t="n">
        <x:v>0.12866321007461695</x:v>
      </x:c>
    </x:row>
    <x:row r="468">
      <x:c r="A468" t="n">
        <x:v>419</x:v>
      </x:c>
      <x:c r="B468" s="40" t="n">
        <x:v>0.0874782059128362</x:v>
      </x:c>
      <x:c r="C468" s="40" t="n">
        <x:v>0.08463474989544495</x:v>
      </x:c>
      <x:c r="D468" s="40" t="n">
        <x:v>0.8037403057612287</x:v>
      </x:c>
      <x:c r="E468" s="40" t="n">
        <x:v>0.13984930346223112</x:v>
      </x:c>
      <x:c r="F468" s="40" t="n">
        <x:v>0.07452428494861033</x:v>
      </x:c>
      <x:c r="G468" s="40" t="n">
        <x:v>0.15149704301996253</x:v>
      </x:c>
      <x:c r="H468" s="40" t="n">
        <x:v>0.04286212758261135</x:v>
      </x:c>
    </x:row>
    <x:row r="469">
      <x:c r="A469" t="n">
        <x:v>420</x:v>
      </x:c>
      <x:c r="B469" s="40" t="n">
        <x:v>0.06616603000235073</x:v>
      </x:c>
      <x:c r="C469" s="40" t="n">
        <x:v>0.057122597870857286</x:v>
      </x:c>
      <x:c r="D469" s="40" t="n">
        <x:v>0.8177531413069034</x:v>
      </x:c>
      <x:c r="E469" s="40" t="n">
        <x:v>0.11403711859228026</x:v>
      </x:c>
      <x:c r="F469" s="40" t="n">
        <x:v>0.032871588779802875</x:v>
      </x:c>
      <x:c r="G469" s="40" t="n">
        <x:v>0.3886219532694845</x:v>
      </x:c>
      <x:c r="H469" s="40" t="n">
        <x:v>0.19374798172404992</x:v>
      </x:c>
    </x:row>
    <x:row r="470">
      <x:c r="A470" t="n">
        <x:v>421</x:v>
      </x:c>
      <x:c r="B470" s="40" t="n">
        <x:v>0.06567165566176297</x:v>
      </x:c>
      <x:c r="C470" s="40" t="n">
        <x:v>0.0638213064548176</x:v>
      </x:c>
      <x:c r="D470" s="40" t="n">
        <x:v>0.724175233558354</x:v>
      </x:c>
      <x:c r="E470" s="40" t="n">
        <x:v>0.09171470918200361</x:v>
      </x:c>
      <x:c r="F470" s="40" t="n">
        <x:v>0.013223754417870881</x:v>
      </x:c>
      <x:c r="G470" s="40" t="n">
        <x:v>0.34947312001849706</x:v>
      </x:c>
      <x:c r="H470" s="40" t="n">
        <x:v>0.43766301182641393</x:v>
      </x:c>
    </x:row>
    <x:row r="471">
      <x:c r="A471" t="n">
        <x:v>422</x:v>
      </x:c>
      <x:c r="B471" s="40" t="n">
        <x:v>0.06114400931373741</x:v>
      </x:c>
      <x:c r="C471" s="40" t="n">
        <x:v>0.06925898914667175</x:v>
      </x:c>
      <x:c r="D471" s="40" t="n">
        <x:v>0.6019458798568775</x:v>
      </x:c>
      <x:c r="E471" s="40" t="n">
        <x:v>0.09148079574625015</x:v>
      </x:c>
      <x:c r="F471" s="40" t="n">
        <x:v>0.08275196273726734</x:v>
      </x:c>
      <x:c r="G471" s="40" t="n">
        <x:v>0.030760407149184654</x:v>
      </x:c>
      <x:c r="H471" s="40" t="n">
        <x:v>0.07263209643735746</x:v>
      </x:c>
    </x:row>
    <x:row r="472">
      <x:c r="A472" t="n">
        <x:v>423</x:v>
      </x:c>
      <x:c r="B472" s="40" t="n">
        <x:v>0.06651120321821245</x:v>
      </x:c>
      <x:c r="C472" s="40" t="n">
        <x:v>0.07163919893242565</x:v>
      </x:c>
      <x:c r="D472" s="40" t="n">
        <x:v>0.6568660421336312</x:v>
      </x:c>
      <x:c r="E472" s="40" t="n">
        <x:v>0.3931666995039561</x:v>
      </x:c>
      <x:c r="F472" s="40" t="n">
        <x:v>0.016506167743033203</x:v>
      </x:c>
      <x:c r="G472" s="40" t="n">
        <x:v>0.4569308629896545</x:v>
      </x:c>
      <x:c r="H472" s="40" t="n">
        <x:v>0.006216472556521855</x:v>
      </x:c>
    </x:row>
    <x:row r="473">
      <x:c r="A473" t="n">
        <x:v>424</x:v>
      </x:c>
      <x:c r="B473" s="40" t="n">
        <x:v>0.1038249980853454</x:v>
      </x:c>
      <x:c r="C473" s="40" t="n">
        <x:v>0.1471551998417291</x:v>
      </x:c>
      <x:c r="D473" s="40" t="n">
        <x:v>0.5733480843506962</x:v>
      </x:c>
      <x:c r="E473" s="40" t="n">
        <x:v>0.019460095840329393</x:v>
      </x:c>
      <x:c r="F473" s="40" t="n">
        <x:v>0.46582315069036695</x:v>
      </x:c>
      <x:c r="G473" s="40" t="n">
        <x:v>0.04600208417009889</x:v>
      </x:c>
      <x:c r="H473" s="40" t="n">
        <x:v>0.14898210048015037</x:v>
      </x:c>
    </x:row>
    <x:row r="474">
      <x:c r="A474" t="n">
        <x:v>425</x:v>
      </x:c>
      <x:c r="B474" s="40" t="n">
        <x:v>0.08796227583945823</x:v>
      </x:c>
      <x:c r="C474" s="40" t="n">
        <x:v>0.11991726751246737</x:v>
      </x:c>
      <x:c r="D474" s="40" t="n">
        <x:v>0.5712974545428956</x:v>
      </x:c>
      <x:c r="E474" s="40" t="n">
        <x:v>0.05714400607228546</x:v>
      </x:c>
      <x:c r="F474" s="40" t="n">
        <x:v>0.38844622218585995</x:v>
      </x:c>
      <x:c r="G474" s="40" t="n">
        <x:v>0.18893360359422878</x:v>
      </x:c>
      <x:c r="H474" s="40" t="n">
        <x:v>0.11585735201254244</x:v>
      </x:c>
    </x:row>
    <x:row r="475">
      <x:c r="A475" t="n">
        <x:v>426</x:v>
      </x:c>
      <x:c r="B475" s="40" t="n">
        <x:v>0.08263141772811364</x:v>
      </x:c>
      <x:c r="C475" s="40" t="n">
        <x:v>0.12102394846032898</x:v>
      </x:c>
      <x:c r="D475" s="40" t="n">
        <x:v>0.5220253708296153</x:v>
      </x:c>
      <x:c r="E475" s="40" t="n">
        <x:v>0.16879075366644736</x:v>
      </x:c>
      <x:c r="F475" s="40" t="n">
        <x:v>0.38314576921930016</x:v>
      </x:c>
      <x:c r="G475" s="40" t="n">
        <x:v>0.37055672385062743</x:v>
      </x:c>
      <x:c r="H475" s="40" t="n">
        <x:v>0.07321840563131458</x:v>
      </x:c>
    </x:row>
    <x:row r="476">
      <x:c r="A476" t="n">
        <x:v>427</x:v>
      </x:c>
      <x:c r="B476" s="40" t="n">
        <x:v>0.05349325519365389</x:v>
      </x:c>
      <x:c r="C476" s="40" t="n">
        <x:v>0.07391708510205311</x:v>
      </x:c>
      <x:c r="D476" s="40" t="n">
        <x:v>0.46050800018441557</x:v>
      </x:c>
      <x:c r="E476" s="40" t="n">
        <x:v>0.009224920297008976</x:v>
      </x:c>
      <x:c r="F476" s="40" t="n">
        <x:v>0.008020112233195284</x:v>
      </x:c>
      <x:c r="G476" s="40" t="n">
        <x:v>0.7626198026697978</x:v>
      </x:c>
      <x:c r="H476" s="40" t="n">
        <x:v>0.06008806581168325</x:v>
      </x:c>
    </x:row>
    <x:row r="477">
      <x:c r="A477" t="n">
        <x:v>428</x:v>
      </x:c>
      <x:c r="B477" s="40" t="n">
        <x:v>0.08611475557654152</x:v>
      </x:c>
      <x:c r="C477" s="40" t="n">
        <x:v>0.11128502988397312</x:v>
      </x:c>
      <x:c r="D477" s="40" t="n">
        <x:v>0.5990105721514987</x:v>
      </x:c>
      <x:c r="E477" s="40" t="n">
        <x:v>0.028246456253170835</x:v>
      </x:c>
      <x:c r="F477" s="40" t="n">
        <x:v>0.332496658690811</x:v>
      </x:c>
      <x:c r="G477" s="40" t="n">
        <x:v>0.07231601148292113</x:v>
      </x:c>
      <x:c r="H477" s="40" t="n">
        <x:v>0.24520181897087368</x:v>
      </x:c>
    </x:row>
    <x:row r="478">
      <x:c r="A478" t="n">
        <x:v>429</x:v>
      </x:c>
      <x:c r="B478" s="40" t="n">
        <x:v>0.09661452917942873</x:v>
      </x:c>
      <x:c r="C478" s="40" t="n">
        <x:v>0.11864488520783813</x:v>
      </x:c>
      <x:c r="D478" s="40" t="n">
        <x:v>0.6503498477023689</x:v>
      </x:c>
      <x:c r="E478" s="40" t="n">
        <x:v>0.01150213428387535</x:v>
      </x:c>
      <x:c r="F478" s="40" t="n">
        <x:v>0.3145188317570819</x:v>
      </x:c>
      <x:c r="G478" s="40" t="n">
        <x:v>0.034595188774657636</x:v>
      </x:c>
      <x:c r="H478" s="40" t="n">
        <x:v>0.33398068385631613</x:v>
      </x:c>
    </x:row>
    <x:row r="479">
      <x:c r="A479" t="n">
        <x:v>430</x:v>
      </x:c>
      <x:c r="B479" s="40" t="n">
        <x:v>0.09551783695417232</x:v>
      </x:c>
      <x:c r="C479" s="40" t="n">
        <x:v>0.1031907258137224</x:v>
      </x:c>
      <x:c r="D479" s="40" t="n">
        <x:v>0.7371204165928165</x:v>
      </x:c>
      <x:c r="E479" s="40" t="n">
        <x:v>0.06062258475071754</x:v>
      </x:c>
      <x:c r="F479" s="40" t="n">
        <x:v>0.10849473966198725</x:v>
      </x:c>
      <x:c r="G479" s="40" t="n">
        <x:v>0.16825788908749104</x:v>
      </x:c>
      <x:c r="H479" s="40" t="n">
        <x:v>0.06182587600998805</x:v>
      </x:c>
    </x:row>
    <x:row r="480">
      <x:c r="A480" t="n">
        <x:v>431</x:v>
      </x:c>
      <x:c r="B480" s="40" t="n">
        <x:v>0.08357714886948478</x:v>
      </x:c>
      <x:c r="C480" s="40" t="n">
        <x:v>0.09863480408498518</x:v>
      </x:c>
      <x:c r="D480" s="40" t="n">
        <x:v>0.6501082788220379</x:v>
      </x:c>
      <x:c r="E480" s="40" t="n">
        <x:v>0.03277874235270825</x:v>
      </x:c>
      <x:c r="F480" s="40" t="n">
        <x:v>0.2687866545943575</x:v>
      </x:c>
      <x:c r="G480" s="40" t="n">
        <x:v>0.09792612324813559</x:v>
      </x:c>
      <x:c r="H480" s="40" t="n">
        <x:v>0.31757047714575576</x:v>
      </x:c>
    </x:row>
    <x:row r="481">
      <x:c r="A481" t="n">
        <x:v>432</x:v>
      </x:c>
      <x:c r="B481" s="40" t="n">
        <x:v>0.08573484371609064</x:v>
      </x:c>
      <x:c r="C481" s="40" t="n">
        <x:v>0.10227234405237293</x:v>
      </x:c>
      <x:c r="D481" s="40" t="n">
        <x:v>0.6480832934493265</x:v>
      </x:c>
      <x:c r="E481" s="40" t="n">
        <x:v>0.19266095505331648</x:v>
      </x:c>
      <x:c r="F481" s="40" t="n">
        <x:v>0.21811701978060372</x:v>
      </x:c>
      <x:c r="G481" s="40" t="n">
        <x:v>0.06639709453638618</x:v>
      </x:c>
      <x:c r="H481" s="40" t="n">
        <x:v>0.11807156114579578</x:v>
      </x:c>
    </x:row>
    <x:row r="482">
      <x:c r="A482" t="n">
        <x:v>433</x:v>
      </x:c>
      <x:c r="B482" s="40" t="n">
        <x:v>0.09006596518282121</x:v>
      </x:c>
      <x:c r="C482" s="40" t="n">
        <x:v>0.13028142339426993</x:v>
      </x:c>
      <x:c r="D482" s="40" t="n">
        <x:v>0.541996834155565</x:v>
      </x:c>
      <x:c r="E482" s="40" t="n">
        <x:v>0.6011508419910679</x:v>
      </x:c>
      <x:c r="F482" s="40" t="n">
        <x:v>0.07089483376221767</x:v>
      </x:c>
      <x:c r="G482" s="40" t="n">
        <x:v>0.00740805786785955</x:v>
      </x:c>
      <x:c r="H482" s="40" t="n">
        <x:v>0.11015393181695254</x:v>
      </x:c>
    </x:row>
    <x:row r="483">
      <x:c r="A483" t="n">
        <x:v>434</x:v>
      </x:c>
      <x:c r="B483" s="40" t="n">
        <x:v>0.1035396093543194</x:v>
      </x:c>
      <x:c r="C483" s="40" t="n">
        <x:v>0.13298006950231184</x:v>
      </x:c>
      <x:c r="D483" s="40" t="n">
        <x:v>0.6323185385236351</x:v>
      </x:c>
      <x:c r="E483" s="40" t="n">
        <x:v>0.01889502788067104</x:v>
      </x:c>
      <x:c r="F483" s="40" t="n">
        <x:v>0.3662294012112861</x:v>
      </x:c>
      <x:c r="G483" s="40" t="n">
        <x:v>0.021868464626051378</x:v>
      </x:c>
      <x:c r="H483" s="40" t="n">
        <x:v>0.23978091982351643</x:v>
      </x:c>
    </x:row>
    <x:row r="484">
      <x:c r="A484" t="n">
        <x:v>435</x:v>
      </x:c>
      <x:c r="B484" s="40" t="n">
        <x:v>0.09753118301158703</x:v>
      </x:c>
      <x:c r="C484" s="40" t="n">
        <x:v>0.10724846226823477</x:v>
      </x:c>
      <x:c r="D484" s="40" t="n">
        <x:v>0.7280042548532287</x:v>
      </x:c>
      <x:c r="E484" s="40" t="n">
        <x:v>0.15941673434704262</x:v>
      </x:c>
      <x:c r="F484" s="40" t="n">
        <x:v>0.13821528110461218</x:v>
      </x:c>
      <x:c r="G484" s="40" t="n">
        <x:v>0.027559469106793542</x:v>
      </x:c>
      <x:c r="H484" s="40" t="n">
        <x:v>0.2593034561285159</x:v>
      </x:c>
    </x:row>
    <x:row r="485">
      <x:c r="A485" t="n">
        <x:v>436</x:v>
      </x:c>
      <x:c r="B485" s="40" t="n">
        <x:v>0.08584246639835104</x:v>
      </x:c>
      <x:c r="C485" s="40" t="n">
        <x:v>0.11173005687786496</x:v>
      </x:c>
      <x:c r="D485" s="40" t="n">
        <x:v>0.5941876528092707</x:v>
      </x:c>
      <x:c r="E485" s="40" t="n">
        <x:v>0.08796360644351994</x:v>
      </x:c>
      <x:c r="F485" s="40" t="n">
        <x:v>0.3652709865513941</x:v>
      </x:c>
      <x:c r="G485" s="40" t="n">
        <x:v>0.34217476935746544</x:v>
      </x:c>
      <x:c r="H485" s="40" t="n">
        <x:v>0.04639002408152049</x:v>
      </x:c>
    </x:row>
    <x:row r="486">
      <x:c r="A486" t="n">
        <x:v>437</x:v>
      </x:c>
      <x:c r="B486" s="40" t="n">
        <x:v>0.06621220158455308</x:v>
      </x:c>
      <x:c r="C486" s="40" t="n">
        <x:v>0.06036073355811318</x:v>
      </x:c>
      <x:c r="D486" s="40" t="n">
        <x:v>0.7746485616462835</x:v>
      </x:c>
      <x:c r="E486" s="40" t="n">
        <x:v>0.06287615909926306</x:v>
      </x:c>
      <x:c r="F486" s="40" t="n">
        <x:v>0.038654755459889334</x:v>
      </x:c>
      <x:c r="G486" s="40" t="n">
        <x:v>0.29778889455356133</x:v>
      </x:c>
      <x:c r="H486" s="40" t="n">
        <x:v>0.4182966351751856</x:v>
      </x:c>
    </x:row>
    <x:row r="487">
      <x:c r="A487" t="n">
        <x:v>438</x:v>
      </x:c>
      <x:c r="B487" s="40" t="n">
        <x:v>0.08163862064426364</x:v>
      </x:c>
      <x:c r="C487" s="40" t="n">
        <x:v>0.0784488564946909</x:v>
      </x:c>
      <x:c r="D487" s="40" t="n">
        <x:v>0.7926791704685446</x:v>
      </x:c>
      <x:c r="E487" s="40" t="n">
        <x:v>0.2293926258764498</x:v>
      </x:c>
      <x:c r="F487" s="40" t="n">
        <x:v>0.054101676862242695</x:v>
      </x:c>
      <x:c r="G487" s="40" t="n">
        <x:v>0.14946848681542102</x:v>
      </x:c>
      <x:c r="H487" s="40" t="n">
        <x:v>0.17666055966478564</x:v>
      </x:c>
    </x:row>
    <x:row r="488">
      <x:c r="A488" t="n">
        <x:v>439</x:v>
      </x:c>
      <x:c r="B488" s="40" t="n">
        <x:v>0.08776879380355493</x:v>
      </x:c>
      <x:c r="C488" s="40" t="n">
        <x:v>0.11166512336783707</x:v>
      </x:c>
      <x:c r="D488" s="40" t="n">
        <x:v>0.6117841058095812</x:v>
      </x:c>
      <x:c r="E488" s="40" t="n">
        <x:v>0.07438947488294574</x:v>
      </x:c>
      <x:c r="F488" s="40" t="n">
        <x:v>0.31391463147502907</x:v>
      </x:c>
      <x:c r="G488" s="40" t="n">
        <x:v>0.05715332594573632</x:v>
      </x:c>
      <x:c r="H488" s="40" t="n">
        <x:v>0.16447962240029265</x:v>
      </x:c>
    </x:row>
    <x:row r="489">
      <x:c r="A489" t="n">
        <x:v>440</x:v>
      </x:c>
      <x:c r="B489" s="40" t="n">
        <x:v>0.09022648651299711</x:v>
      </x:c>
      <x:c r="C489" s="40" t="n">
        <x:v>0.10223644610213951</x:v>
      </x:c>
      <x:c r="D489" s="40" t="n">
        <x:v>0.6922447234565002</x:v>
      </x:c>
      <x:c r="E489" s="40" t="n">
        <x:v>0.2600442282239488</x:v>
      </x:c>
      <x:c r="F489" s="40" t="n">
        <x:v>0.147198590369349</x:v>
      </x:c>
      <x:c r="G489" s="40" t="n">
        <x:v>0.017086510954891575</x:v>
      </x:c>
      <x:c r="H489" s="40" t="n">
        <x:v>0.11977902077148678</x:v>
      </x:c>
    </x:row>
    <x:row r="490">
      <x:c r="A490" t="n">
        <x:v>441</x:v>
      </x:c>
      <x:c r="B490" s="40" t="n">
        <x:v>0.06103545336639787</x:v>
      </x:c>
      <x:c r="C490" s="40" t="n">
        <x:v>0.06114789629268426</x:v>
      </x:c>
      <x:c r="D490" s="40" t="n">
        <x:v>0.6800169708786292</x:v>
      </x:c>
      <x:c r="E490" s="40" t="n">
        <x:v>0.2941330624477314</x:v>
      </x:c>
      <x:c r="F490" s="40" t="n">
        <x:v>0.008164310600457676</x:v>
      </x:c>
      <x:c r="G490" s="40" t="n">
        <x:v>0.5681312248105653</x:v>
      </x:c>
      <x:c r="H490" s="40" t="n">
        <x:v>0.02529113118631452</x:v>
      </x:c>
    </x:row>
    <x:row r="491">
      <x:c r="A491" t="n">
        <x:v>442</x:v>
      </x:c>
      <x:c r="B491" s="40" t="n">
        <x:v>0.09774859239767941</x:v>
      </x:c>
      <x:c r="C491" s="40" t="n">
        <x:v>0.16363950995674534</x:v>
      </x:c>
      <x:c r="D491" s="40" t="n">
        <x:v>0.47845869414134046</x:v>
      </x:c>
      <x:c r="E491" s="40" t="n">
        <x:v>0.021957051458533012</x:v>
      </x:c>
      <x:c r="F491" s="40" t="n">
        <x:v>0.5820070298441052</x:v>
      </x:c>
      <x:c r="G491" s="40" t="n">
        <x:v>0.1438842428795943</x:v>
      </x:c>
      <x:c r="H491" s="40" t="n">
        <x:v>0.10035584826103157</x:v>
      </x:c>
    </x:row>
    <x:row r="492">
      <x:c r="A492" t="n">
        <x:v>443</x:v>
      </x:c>
      <x:c r="B492" s="40" t="n">
        <x:v>0.06931208471710638</x:v>
      </x:c>
      <x:c r="C492" s="40" t="n">
        <x:v>0.06821357341138928</x:v>
      </x:c>
      <x:c r="D492" s="40" t="n">
        <x:v>0.7309137473647678</x:v>
      </x:c>
      <x:c r="E492" s="40" t="n">
        <x:v>0.08031258558026956</x:v>
      </x:c>
      <x:c r="F492" s="40" t="n">
        <x:v>0.024900578739685986</x:v>
      </x:c>
      <x:c r="G492" s="40" t="n">
        <x:v>0.2045863835329819</x:v>
      </x:c>
      <x:c r="H492" s="40" t="n">
        <x:v>0.6022678391489856</x:v>
      </x:c>
    </x:row>
    <x:row r="493">
      <x:c r="A493" t="n">
        <x:v>444</x:v>
      </x:c>
      <x:c r="B493" s="40" t="n">
        <x:v>0.09435651371769221</x:v>
      </x:c>
      <x:c r="C493" s="40" t="n">
        <x:v>0.10208734980510593</x:v>
      </x:c>
      <x:c r="D493" s="40" t="n">
        <x:v>0.7337115490493394</x:v>
      </x:c>
      <x:c r="E493" s="40" t="n">
        <x:v>0.16835129688995093</x:v>
      </x:c>
      <x:c r="F493" s="40" t="n">
        <x:v>0.11793889259268554</x:v>
      </x:c>
      <x:c r="G493" s="40" t="n">
        <x:v>0.02748658079576472</x:v>
      </x:c>
      <x:c r="H493" s="40" t="n">
        <x:v>0.32743279523526847</x:v>
      </x:c>
    </x:row>
    <x:row r="494">
      <x:c r="A494" t="n">
        <x:v>445</x:v>
      </x:c>
      <x:c r="B494" s="40" t="n">
        <x:v>0.09684896995526357</x:v>
      </x:c>
      <x:c r="C494" s="40" t="n">
        <x:v>0.11369639125056782</x:v>
      </x:c>
      <x:c r="D494" s="40" t="n">
        <x:v>0.6807175051919767</x:v>
      </x:c>
      <x:c r="E494" s="40" t="n">
        <x:v>0.0019992522681741417</x:v>
      </x:c>
      <x:c r="F494" s="40" t="n">
        <x:v>0.29981160043898153</x:v>
      </x:c>
      <x:c r="G494" s="40" t="n">
        <x:v>0.20310537551270594</x:v>
      </x:c>
      <x:c r="H494" s="40" t="n">
        <x:v>0.14029334466372925</x:v>
      </x:c>
    </x:row>
    <x:row r="495">
      <x:c r="A495" t="n">
        <x:v>446</x:v>
      </x:c>
      <x:c r="B495" s="40" t="n">
        <x:v>0.08016968365061178</x:v>
      </x:c>
      <x:c r="C495" s="40" t="n">
        <x:v>0.10770423954940776</x:v>
      </x:c>
      <x:c r="D495" s="40" t="n">
        <x:v>0.5637274609688239</x:v>
      </x:c>
      <x:c r="E495" s="40" t="n">
        <x:v>0.43813057961964025</x:v>
      </x:c>
      <x:c r="F495" s="40" t="n">
        <x:v>0.09445686407235168</x:v>
      </x:c>
      <x:c r="G495" s="40" t="n">
        <x:v>0.045434949634047095</x:v>
      </x:c>
      <x:c r="H495" s="40" t="n">
        <x:v>0.07899005158098191</x:v>
      </x:c>
    </x:row>
    <x:row r="496">
      <x:c r="A496" t="n">
        <x:v>447</x:v>
      </x:c>
      <x:c r="B496" s="40" t="n">
        <x:v>0.07258115749411513</x:v>
      </x:c>
      <x:c r="C496" s="40" t="n">
        <x:v>0.07047624813005997</x:v>
      </x:c>
      <x:c r="D496" s="40" t="n">
        <x:v>0.7538328550382747</x:v>
      </x:c>
      <x:c r="E496" s="40" t="n">
        <x:v>0.07567886093727438</x:v>
      </x:c>
      <x:c r="F496" s="40" t="n">
        <x:v>0.09317841555853594</x:v>
      </x:c>
      <x:c r="G496" s="40" t="n">
        <x:v>0.27879066428530597</x:v>
      </x:c>
      <x:c r="H496" s="40" t="n">
        <x:v>0.401837498055245</x:v>
      </x:c>
    </x:row>
    <x:row r="497">
      <x:c r="A497" t="n">
        <x:v>448</x:v>
      </x:c>
      <x:c r="B497" s="40" t="n">
        <x:v>0.09521540276622513</x:v>
      </x:c>
      <x:c r="C497" s="40" t="n">
        <x:v>0.10228038170236915</x:v>
      </x:c>
      <x:c r="D497" s="40" t="n">
        <x:v>0.7407242263999498</x:v>
      </x:c>
      <x:c r="E497" s="40" t="n">
        <x:v>0.14853085350291537</x:v>
      </x:c>
      <x:c r="F497" s="40" t="n">
        <x:v>0.018650565228651137</x:v>
      </x:c>
      <x:c r="G497" s="40" t="n">
        <x:v>0.07902330382093382</x:v>
      </x:c>
      <x:c r="H497" s="40" t="n">
        <x:v>0.1854847538507612</x:v>
      </x:c>
    </x:row>
    <x:row r="498">
      <x:c r="A498" t="n">
        <x:v>449</x:v>
      </x:c>
      <x:c r="B498" s="40" t="n">
        <x:v>0.06693409817743232</x:v>
      </x:c>
      <x:c r="C498" s="40" t="n">
        <x:v>0.06463957681712276</x:v>
      </x:c>
      <x:c r="D498" s="40" t="n">
        <x:v>0.7345384107002513</x:v>
      </x:c>
      <x:c r="E498" s="40" t="n">
        <x:v>0.13300981178579255</x:v>
      </x:c>
      <x:c r="F498" s="40" t="n">
        <x:v>0.033192389682871554</x:v>
      </x:c>
      <x:c r="G498" s="40" t="n">
        <x:v>0.4303414340709829</x:v>
      </x:c>
      <x:c r="H498" s="40" t="n">
        <x:v>0.2842452355726629</x:v>
      </x:c>
    </x:row>
    <x:row r="499">
      <x:c r="A499" t="n">
        <x:v>450</x:v>
      </x:c>
      <x:c r="B499" s="40" t="n">
        <x:v>0.09388786663791657</x:v>
      </x:c>
      <x:c r="C499" s="40" t="n">
        <x:v>0.12147432611276936</x:v>
      </x:c>
      <x:c r="D499" s="40" t="n">
        <x:v>0.6127551628890734</x:v>
      </x:c>
      <x:c r="E499" s="40" t="n">
        <x:v>0.34580227203411273</x:v>
      </x:c>
      <x:c r="F499" s="40" t="n">
        <x:v>0.21072285616867473</x:v>
      </x:c>
      <x:c r="G499" s="40" t="n">
        <x:v>0.058419216535854045</x:v>
      </x:c>
      <x:c r="H499" s="40" t="n">
        <x:v>0.05709196391895818</x:v>
      </x:c>
    </x:row>
    <x:row r="500">
      <x:c r="A500" t="n">
        <x:v>451</x:v>
      </x:c>
      <x:c r="B500" s="40" t="n">
        <x:v>0.11116671941896816</x:v>
      </x:c>
      <x:c r="C500" s="40" t="n">
        <x:v>0.1601256909743627</x:v>
      </x:c>
      <x:c r="D500" s="40" t="n">
        <x:v>0.5727555191615437</x:v>
      </x:c>
      <x:c r="E500" s="40" t="n">
        <x:v>0.04159979586234021</x:v>
      </x:c>
      <x:c r="F500" s="40" t="n">
        <x:v>0.5115354595141524</x:v>
      </x:c>
      <x:c r="G500" s="40" t="n">
        <x:v>0.09127874600399867</x:v>
      </x:c>
      <x:c r="H500" s="40" t="n">
        <x:v>0.00045416034983395635</x:v>
      </x:c>
    </x:row>
    <x:row r="501">
      <x:c r="A501" t="n">
        <x:v>452</x:v>
      </x:c>
      <x:c r="B501" s="40" t="n">
        <x:v>0.06425063666425791</x:v>
      </x:c>
      <x:c r="C501" s="40" t="n">
        <x:v>0.05017141628729624</x:v>
      </x:c>
      <x:c r="D501" s="40" t="n">
        <x:v>0.892874744732981</x:v>
      </x:c>
      <x:c r="E501" s="40" t="n">
        <x:v>0.04247976000359607</x:v>
      </x:c>
      <x:c r="F501" s="40" t="n">
        <x:v>0.0384499478762033</x:v>
      </x:c>
      <x:c r="G501" s="40" t="n">
        <x:v>0.11205076752482264</x:v>
      </x:c>
      <x:c r="H501" s="40" t="n">
        <x:v>0.0779827443472569</x:v>
      </x:c>
    </x:row>
    <x:row r="502">
      <x:c r="A502" t="n">
        <x:v>453</x:v>
      </x:c>
      <x:c r="B502" s="40" t="n">
        <x:v>0.0669256662902456</x:v>
      </x:c>
      <x:c r="C502" s="40" t="n">
        <x:v>0.06597284708092305</x:v>
      </x:c>
      <x:c r="D502" s="40" t="n">
        <x:v>0.7195660371936043</x:v>
      </x:c>
      <x:c r="E502" s="40" t="n">
        <x:v>0.17279525164464646</x:v>
      </x:c>
      <x:c r="F502" s="40" t="n">
        <x:v>0.055873957238836536</x:v>
      </x:c>
      <x:c r="G502" s="40" t="n">
        <x:v>0.07000545970451355</x:v>
      </x:c>
      <x:c r="H502" s="40" t="n">
        <x:v>0.07010093628180944</x:v>
      </x:c>
    </x:row>
    <x:row r="503">
      <x:c r="A503" t="n">
        <x:v>454</x:v>
      </x:c>
      <x:c r="B503" s="40" t="n">
        <x:v>0.09805142803839897</x:v>
      </x:c>
      <x:c r="C503" s="40" t="n">
        <x:v>0.16385906830675073</x:v>
      </x:c>
      <x:c r="D503" s="40" t="n">
        <x:v>0.47966574384162247</x:v>
      </x:c>
      <x:c r="E503" s="40" t="n">
        <x:v>0.48813678922167464</x:v>
      </x:c>
      <x:c r="F503" s="40" t="n">
        <x:v>0.3202093023980882</x:v>
      </x:c>
      <x:c r="G503" s="40" t="n">
        <x:v>0.004366573402245867</x:v>
      </x:c>
      <x:c r="H503" s="40" t="n">
        <x:v>0.001844346915886647</x:v>
      </x:c>
    </x:row>
    <x:row r="504">
      <x:c r="A504" t="n">
        <x:v>455</x:v>
      </x:c>
      <x:c r="B504" s="40" t="n">
        <x:v>0.07595746096320366</x:v>
      </x:c>
      <x:c r="C504" s="40" t="n">
        <x:v>0.07777709741232652</x:v>
      </x:c>
      <x:c r="D504" s="40" t="n">
        <x:v>0.7264814024854894</x:v>
      </x:c>
      <x:c r="E504" s="40" t="n">
        <x:v>0.3143116317267789</x:v>
      </x:c>
      <x:c r="F504" s="40" t="n">
        <x:v>0.06737957809530701</x:v>
      </x:c>
      <x:c r="G504" s="40" t="n">
        <x:v>0.4252782415461969</x:v>
      </x:c>
      <x:c r="H504" s="40" t="n">
        <x:v>0.02750239274455997</x:v>
      </x:c>
    </x:row>
    <x:row r="505">
      <x:c r="A505" t="n">
        <x:v>456</x:v>
      </x:c>
      <x:c r="B505" s="40" t="n">
        <x:v>0.0820273351815561</x:v>
      </x:c>
      <x:c r="C505" s="40" t="n">
        <x:v>0.0909887027039683</x:v>
      </x:c>
      <x:c r="D505" s="40" t="n">
        <x:v>0.6877061345878592</x:v>
      </x:c>
      <x:c r="E505" s="40" t="n">
        <x:v>0.13235541547745172</x:v>
      </x:c>
      <x:c r="F505" s="40" t="n">
        <x:v>0.17454842508756585</x:v>
      </x:c>
      <x:c r="G505" s="40" t="n">
        <x:v>0.07885313776306778</x:v>
      </x:c>
      <x:c r="H505" s="40" t="n">
        <x:v>0.38262824610758744</x:v>
      </x:c>
    </x:row>
    <x:row r="506">
      <x:c r="A506" t="n">
        <x:v>457</x:v>
      </x:c>
      <x:c r="B506" s="40" t="n">
        <x:v>0.07218285415943301</x:v>
      </x:c>
      <x:c r="C506" s="40" t="n">
        <x:v>0.07223391456870279</x:v>
      </x:c>
      <x:c r="D506" s="40" t="n">
        <x:v>0.7299757782812045</x:v>
      </x:c>
      <x:c r="E506" s="40" t="n">
        <x:v>0.08287628297207666</x:v>
      </x:c>
      <x:c r="F506" s="40" t="n">
        <x:v>0.15559400862606035</x:v>
      </x:c>
      <x:c r="G506" s="40" t="n">
        <x:v>0.47478004955715036</x:v>
      </x:c>
      <x:c r="H506" s="40" t="n">
        <x:v>0.12383125618640324</x:v>
      </x:c>
    </x:row>
    <x:row r="507">
      <x:c r="A507" t="n">
        <x:v>458</x:v>
      </x:c>
      <x:c r="B507" s="40" t="n">
        <x:v>0.07382148441590643</x:v>
      </x:c>
      <x:c r="C507" s="40" t="n">
        <x:v>0.07435218092602952</x:v>
      </x:c>
      <x:c r="D507" s="40" t="n">
        <x:v>0.7312178013466586</x:v>
      </x:c>
      <x:c r="E507" s="40" t="n">
        <x:v>0.2708124279105341</x:v>
      </x:c>
      <x:c r="F507" s="40" t="n">
        <x:v>0.06758072293673542</x:v>
      </x:c>
      <x:c r="G507" s="40" t="n">
        <x:v>0.30261884154374874</x:v>
      </x:c>
      <x:c r="H507" s="40" t="n">
        <x:v>0.1893268055867238</x:v>
      </x:c>
    </x:row>
    <x:row r="508">
      <x:c r="A508" t="n">
        <x:v>459</x:v>
      </x:c>
      <x:c r="B508" s="40" t="n">
        <x:v>0.0782444623901973</x:v>
      </x:c>
      <x:c r="C508" s="40" t="n">
        <x:v>0.08183424241029526</x:v>
      </x:c>
      <x:c r="D508" s="40" t="n">
        <x:v>0.7184109549348614</x:v>
      </x:c>
      <x:c r="E508" s="40" t="n">
        <x:v>0.28146452607413364</x:v>
      </x:c>
      <x:c r="F508" s="40" t="n">
        <x:v>0.10320654878143153</x:v>
      </x:c>
      <x:c r="G508" s="40" t="n">
        <x:v>0.2670999179055062</x:v>
      </x:c>
      <x:c r="H508" s="40" t="n">
        <x:v>0.10863262626152548</x:v>
      </x:c>
    </x:row>
    <x:row r="509">
      <x:c r="A509" t="n">
        <x:v>460</x:v>
      </x:c>
      <x:c r="B509" s="40" t="n">
        <x:v>0.10638307268335878</x:v>
      </x:c>
      <x:c r="C509" s="40" t="n">
        <x:v>0.12671530172605813</x:v>
      </x:c>
      <x:c r="D509" s="40" t="n">
        <x:v>0.6860199624307585</x:v>
      </x:c>
      <x:c r="E509" s="40" t="n">
        <x:v>0.02283340273097621</x:v>
      </x:c>
      <x:c r="F509" s="40" t="n">
        <x:v>0.09687070945031667</x:v>
      </x:c>
      <x:c r="G509" s="40" t="n">
        <x:v>0.044418192728302316</x:v>
      </x:c>
      <x:c r="H509" s="40" t="n">
        <x:v>0.13139551936420543</x:v>
      </x:c>
    </x:row>
    <x:row r="510">
      <x:c r="A510" t="n">
        <x:v>461</x:v>
      </x:c>
      <x:c r="B510" s="40" t="n">
        <x:v>0.09575616069408524</x:v>
      </x:c>
      <x:c r="C510" s="40" t="n">
        <x:v>0.10708778041723238</x:v>
      </x:c>
      <x:c r="D510" s="40" t="n">
        <x:v>0.7125212068356648</x:v>
      </x:c>
      <x:c r="E510" s="40" t="n">
        <x:v>0.33147691033566035</x:v>
      </x:c>
      <x:c r="F510" s="40" t="n">
        <x:v>0.0838572575102847</x:v>
      </x:c>
      <x:c r="G510" s="40" t="n">
        <x:v>0.09199265946119498</x:v>
      </x:c>
      <x:c r="H510" s="40" t="n">
        <x:v>0.10457353051891524</x:v>
      </x:c>
    </x:row>
    <x:row r="511">
      <x:c r="A511" t="n">
        <x:v>462</x:v>
      </x:c>
      <x:c r="B511" s="40" t="n">
        <x:v>0.09722462321387677</x:v>
      </x:c>
      <x:c r="C511" s="40" t="n">
        <x:v>0.15074746282739995</x:v>
      </x:c>
      <x:c r="D511" s="40" t="n">
        <x:v>0.515901067927592</x:v>
      </x:c>
      <x:c r="E511" s="40" t="n">
        <x:v>0.3174241910181037</x:v>
      </x:c>
      <x:c r="F511" s="40" t="n">
        <x:v>0.3797973498016127</x:v>
      </x:c>
      <x:c r="G511" s="40" t="n">
        <x:v>0.09528605979028744</x:v>
      </x:c>
      <x:c r="H511" s="40" t="n">
        <x:v>0.04450698113611991</x:v>
      </x:c>
    </x:row>
    <x:row r="512">
      <x:c r="A512" t="n">
        <x:v>463</x:v>
      </x:c>
      <x:c r="B512" s="40" t="n">
        <x:v>0.10520821138737343</x:v>
      </x:c>
      <x:c r="C512" s="40" t="n">
        <x:v>0.15463444334495238</x:v>
      </x:c>
      <x:c r="D512" s="40" t="n">
        <x:v>0.5545618646049628</x:v>
      </x:c>
      <x:c r="E512" s="40" t="n">
        <x:v>0.2877249601027625</x:v>
      </x:c>
      <x:c r="F512" s="40" t="n">
        <x:v>0.3798427412835405</x:v>
      </x:c>
      <x:c r="G512" s="40" t="n">
        <x:v>0.007814867226658579</x:v>
      </x:c>
      <x:c r="H512" s="40" t="n">
        <x:v>0.0015952221232854074</x:v>
      </x:c>
    </x:row>
    <x:row r="513">
      <x:c r="A513" t="n">
        <x:v>464</x:v>
      </x:c>
      <x:c r="B513" s="40" t="n">
        <x:v>0.05382143795075929</x:v>
      </x:c>
      <x:c r="C513" s="40" t="n">
        <x:v>0.047781106730128614</x:v>
      </x:c>
      <x:c r="D513" s="40" t="n">
        <x:v>0.7192715729885445</x:v>
      </x:c>
      <x:c r="E513" s="40" t="n">
        <x:v>0.03167778820312993</x:v>
      </x:c>
      <x:c r="F513" s="40" t="n">
        <x:v>0.031245891890633527</x:v>
      </x:c>
      <x:c r="G513" s="40" t="n">
        <x:v>0.21705221445160242</x:v>
      </x:c>
      <x:c r="H513" s="40" t="n">
        <x:v>0.007734745719319827</x:v>
      </x:c>
    </x:row>
    <x:row r="514">
      <x:c r="A514" t="n">
        <x:v>465</x:v>
      </x:c>
      <x:c r="B514" s="40" t="n">
        <x:v>0.0758470542167698</x:v>
      </x:c>
      <x:c r="C514" s="40" t="n">
        <x:v>0.07063510206282324</x:v>
      </x:c>
      <x:c r="D514" s="40" t="n">
        <x:v>0.7983737039519985</x:v>
      </x:c>
      <x:c r="E514" s="40" t="n">
        <x:v>0.014017982421982047</x:v>
      </x:c>
      <x:c r="F514" s="40" t="n">
        <x:v>0.0645962613908774</x:v>
      </x:c>
      <x:c r="G514" s="40" t="n">
        <x:v>0.29908305208627756</x:v>
      </x:c>
      <x:c r="H514" s="40" t="n">
        <x:v>0.18493014473144198</x:v>
      </x:c>
    </x:row>
    <x:row r="515">
      <x:c r="A515" t="n">
        <x:v>466</x:v>
      </x:c>
      <x:c r="B515" s="40" t="n">
        <x:v>0.10443033654489255</x:v>
      </x:c>
      <x:c r="C515" s="40" t="n">
        <x:v>0.15728834938052996</x:v>
      </x:c>
      <x:c r="D515" s="40" t="n">
        <x:v>0.5402592800148316</x:v>
      </x:c>
      <x:c r="E515" s="40" t="n">
        <x:v>0.22390779450512355</x:v>
      </x:c>
      <x:c r="F515" s="40" t="n">
        <x:v>0.42872987146976366</x:v>
      </x:c>
      <x:c r="G515" s="40" t="n">
        <x:v>0.026782725275487335</x:v>
      </x:c>
      <x:c r="H515" s="40" t="n">
        <x:v>0.076893624055786</x:v>
      </x:c>
    </x:row>
    <x:row r="516">
      <x:c r="A516" t="n">
        <x:v>467</x:v>
      </x:c>
      <x:c r="B516" s="40" t="n">
        <x:v>0.0858951813758963</x:v>
      </x:c>
      <x:c r="C516" s="40" t="n">
        <x:v>0.09120344284374954</x:v>
      </x:c>
      <x:c r="D516" s="40" t="n">
        <x:v>0.7284959114523557</x:v>
      </x:c>
      <x:c r="E516" s="40" t="n">
        <x:v>0.37128456638983925</x:v>
      </x:c>
      <x:c r="F516" s="40" t="n">
        <x:v>0.04189815802300673</x:v>
      </x:c>
      <x:c r="G516" s="40" t="n">
        <x:v>0.2462548432519909</x:v>
      </x:c>
      <x:c r="H516" s="40" t="n">
        <x:v>0.010743684663532616</x:v>
      </x:c>
    </x:row>
    <x:row r="517">
      <x:c r="A517" t="n">
        <x:v>468</x:v>
      </x:c>
      <x:c r="B517" s="40" t="n">
        <x:v>0.08883704867468487</x:v>
      </x:c>
      <x:c r="C517" s="40" t="n">
        <x:v>0.10415669434084497</x:v>
      </x:c>
      <x:c r="D517" s="40" t="n">
        <x:v>0.6661425169061854</x:v>
      </x:c>
      <x:c r="E517" s="40" t="n">
        <x:v>0.37568917610297053</x:v>
      </x:c>
      <x:c r="F517" s="40" t="n">
        <x:v>0.08628414408081682</x:v>
      </x:c>
      <x:c r="G517" s="40" t="n">
        <x:v>0.013908807191399284</x:v>
      </x:c>
      <x:c r="H517" s="40" t="n">
        <x:v>0.13960176294578033</x:v>
      </x:c>
    </x:row>
    <x:row r="518">
      <x:c r="A518" t="n">
        <x:v>469</x:v>
      </x:c>
      <x:c r="B518" s="40" t="n">
        <x:v>0.09831932607813568</x:v>
      </x:c>
      <x:c r="C518" s="40" t="n">
        <x:v>0.11144712322170375</x:v>
      </x:c>
      <x:c r="D518" s="40" t="n">
        <x:v>0.7076493106726588</x:v>
      </x:c>
      <x:c r="E518" s="40" t="n">
        <x:v>0.05016583605128737</x:v>
      </x:c>
      <x:c r="F518" s="40" t="n">
        <x:v>0.24478379200347733</x:v>
      </x:c>
      <x:c r="G518" s="40" t="n">
        <x:v>0.19800896668762655</x:v>
      </x:c>
      <x:c r="H518" s="40" t="n">
        <x:v>0.05095067054074437</x:v>
      </x:c>
    </x:row>
    <x:row r="519">
      <x:c r="A519" t="n">
        <x:v>470</x:v>
      </x:c>
      <x:c r="B519" s="40" t="n">
        <x:v>0.09680582133406879</x:v>
      </x:c>
      <x:c r="C519" s="40" t="n">
        <x:v>0.10868400901290437</x:v>
      </x:c>
      <x:c r="D519" s="40" t="n">
        <x:v>0.7117144084281838</x:v>
      </x:c>
      <x:c r="E519" s="40" t="n">
        <x:v>0.1807450253877393</x:v>
      </x:c>
      <x:c r="F519" s="40" t="n">
        <x:v>0.20513714163222344</x:v>
      </x:c>
      <x:c r="G519" s="40" t="n">
        <x:v>0.12012850388319712</x:v>
      </x:c>
      <x:c r="H519" s="40" t="n">
        <x:v>0.0020074092576032455</x:v>
      </x:c>
    </x:row>
    <x:row r="520">
      <x:c r="A520" t="n">
        <x:v>471</x:v>
      </x:c>
      <x:c r="B520" s="40" t="n">
        <x:v>0.052685998348620734</x:v>
      </x:c>
      <x:c r="C520" s="40" t="n">
        <x:v>0.05304618839840453</x:v>
      </x:c>
      <x:c r="D520" s="40" t="n">
        <x:v>0.6264757789039203</x:v>
      </x:c>
      <x:c r="E520" s="40" t="n">
        <x:v>0.06814338088908166</x:v>
      </x:c>
      <x:c r="F520" s="40" t="n">
        <x:v>0.003604628172451113</x:v>
      </x:c>
      <x:c r="G520" s="40" t="n">
        <x:v>0.539298375095598</x:v>
      </x:c>
      <x:c r="H520" s="40" t="n">
        <x:v>0.20926395244281457</x:v>
      </x:c>
    </x:row>
    <x:row r="521">
      <x:c r="A521" t="n">
        <x:v>472</x:v>
      </x:c>
      <x:c r="B521" s="40" t="n">
        <x:v>0.06462186236093813</x:v>
      </x:c>
      <x:c r="C521" s="40" t="n">
        <x:v>0.060384456942617584</x:v>
      </x:c>
      <x:c r="D521" s="40" t="n">
        <x:v>0.7480073266207302</x:v>
      </x:c>
      <x:c r="E521" s="40" t="n">
        <x:v>0.038949608719317436</x:v>
      </x:c>
      <x:c r="F521" s="40" t="n">
        <x:v>0.056803261030070565</x:v>
      </x:c>
      <x:c r="G521" s="40" t="n">
        <x:v>0.5367551950378635</x:v>
      </x:c>
      <x:c r="H521" s="40" t="n">
        <x:v>0.0025379367608253434</x:v>
      </x:c>
    </x:row>
    <x:row r="522">
      <x:c r="A522" t="n">
        <x:v>473</x:v>
      </x:c>
      <x:c r="B522" s="40" t="n">
        <x:v>0.08335499809656106</x:v>
      </x:c>
      <x:c r="C522" s="40" t="n">
        <x:v>0.08053231110350226</x:v>
      </x:c>
      <x:c r="D522" s="40" t="n">
        <x:v>0.7934846407249813</x:v>
      </x:c>
      <x:c r="E522" s="40" t="n">
        <x:v>0.1715389300082583</x:v>
      </x:c>
      <x:c r="F522" s="40" t="n">
        <x:v>0.03809492427597939</x:v>
      </x:c>
      <x:c r="G522" s="40" t="n">
        <x:v>0.05392917239068958</x:v>
      </x:c>
      <x:c r="H522" s="40" t="n">
        <x:v>0.38056152061243104</x:v>
      </x:c>
    </x:row>
    <x:row r="523">
      <x:c r="A523" t="n">
        <x:v>474</x:v>
      </x:c>
      <x:c r="B523" s="40" t="n">
        <x:v>0.08778696699550809</x:v>
      </x:c>
      <x:c r="C523" s="40" t="n">
        <x:v>0.09819905386639295</x:v>
      </x:c>
      <x:c r="D523" s="40" t="n">
        <x:v>0.6958633321929372</x:v>
      </x:c>
      <x:c r="E523" s="40" t="n">
        <x:v>0.10458775861193159</x:v>
      </x:c>
      <x:c r="F523" s="40" t="n">
        <x:v>0.2596819681138356</x:v>
      </x:c>
      <x:c r="G523" s="40" t="n">
        <x:v>0.30405865248024055</x:v>
      </x:c>
      <x:c r="H523" s="40" t="n">
        <x:v>0.025119416091740527</x:v>
      </x:c>
    </x:row>
    <x:row r="524">
      <x:c r="A524" t="n">
        <x:v>475</x:v>
      </x:c>
      <x:c r="B524" s="40" t="n">
        <x:v>0.06610977087483622</x:v>
      </x:c>
      <x:c r="C524" s="40" t="n">
        <x:v>0.06419254205116093</x:v>
      </x:c>
      <x:c r="D524" s="40" t="n">
        <x:v>0.7268122312994814</x:v>
      </x:c>
      <x:c r="E524" s="40" t="n">
        <x:v>0.08400797975113965</x:v>
      </x:c>
      <x:c r="F524" s="40" t="n">
        <x:v>0.08564165636820387</x:v>
      </x:c>
      <x:c r="G524" s="40" t="n">
        <x:v>0.03616271815109581</x:v>
      </x:c>
      <x:c r="H524" s="40" t="n">
        <x:v>0.22798432484607886</x:v>
      </x:c>
    </x:row>
    <x:row r="525">
      <x:c r="A525" t="n">
        <x:v>476</x:v>
      </x:c>
      <x:c r="B525" s="40" t="n">
        <x:v>0.09445575380987431</x:v>
      </x:c>
      <x:c r="C525" s="40" t="n">
        <x:v>0.105618189291721</x:v>
      </x:c>
      <x:c r="D525" s="40" t="n">
        <x:v>0.7101230210344769</x:v>
      </x:c>
      <x:c r="E525" s="40" t="n">
        <x:v>0.1839976446739816</x:v>
      </x:c>
      <x:c r="F525" s="40" t="n">
        <x:v>0.17782787679880616</x:v>
      </x:c>
      <x:c r="G525" s="40" t="n">
        <x:v>0.08122956816239697</x:v>
      </x:c>
      <x:c r="H525" s="40" t="n">
        <x:v>0.20082960618059578</x:v>
      </x:c>
    </x:row>
    <x:row r="526">
      <x:c r="A526" t="n">
        <x:v>477</x:v>
      </x:c>
      <x:c r="B526" s="40" t="n">
        <x:v>0.08659092049830744</x:v>
      </x:c>
      <x:c r="C526" s="40" t="n">
        <x:v>0.10721485457020165</x:v>
      </x:c>
      <x:c r="D526" s="40" t="n">
        <x:v>0.6261919079552692</x:v>
      </x:c>
      <x:c r="E526" s="40" t="n">
        <x:v>0.14338996202088344</x:v>
      </x:c>
      <x:c r="F526" s="40" t="n">
        <x:v>0.2814430584457471</x:v>
      </x:c>
      <x:c r="G526" s="40" t="n">
        <x:v>0.14136903335708295</x:v>
      </x:c>
      <x:c r="H526" s="40" t="n">
        <x:v>0.121797006338447</x:v>
      </x:c>
    </x:row>
    <x:row r="527">
      <x:c r="A527" t="n">
        <x:v>478</x:v>
      </x:c>
      <x:c r="B527" s="40" t="n">
        <x:v>0.09218590899736297</x:v>
      </x:c>
      <x:c r="C527" s="40" t="n">
        <x:v>0.09554468782789043</x:v>
      </x:c>
      <x:c r="D527" s="40" t="n">
        <x:v>0.7612360718005885</x:v>
      </x:c>
      <x:c r="E527" s="40" t="n">
        <x:v>0.1572721728647813</x:v>
      </x:c>
      <x:c r="F527" s="40" t="n">
        <x:v>0.09002452674351386</x:v>
      </x:c>
      <x:c r="G527" s="40" t="n">
        <x:v>0.009093706680178218</x:v>
      </x:c>
      <x:c r="H527" s="40" t="n">
        <x:v>0.30114270164037954</x:v>
      </x:c>
    </x:row>
    <x:row r="528">
      <x:c r="A528" t="n">
        <x:v>479</x:v>
      </x:c>
      <x:c r="B528" s="40" t="n">
        <x:v>0.07700417660242813</x:v>
      </x:c>
      <x:c r="C528" s="40" t="n">
        <x:v>0.09137728693726743</x:v>
      </x:c>
      <x:c r="D528" s="40" t="n">
        <x:v>0.6298100149120379</x:v>
      </x:c>
      <x:c r="E528" s="40" t="n">
        <x:v>0.15899862049396057</x:v>
      </x:c>
      <x:c r="F528" s="40" t="n">
        <x:v>0.15328274373130216</x:v>
      </x:c>
      <x:c r="G528" s="40" t="n">
        <x:v>0.07853012587919213</x:v>
      </x:c>
      <x:c r="H528" s="40" t="n">
        <x:v>0.5487913733979216</x:v>
      </x:c>
    </x:row>
    <x:row r="529">
      <x:c r="A529" t="n">
        <x:v>480</x:v>
      </x:c>
      <x:c r="B529" s="40" t="n">
        <x:v>0.07637893483962495</x:v>
      </x:c>
      <x:c r="C529" s="40" t="n">
        <x:v>0.07496983574728898</x:v>
      </x:c>
      <x:c r="D529" s="40" t="n">
        <x:v>0.7593065680130864</x:v>
      </x:c>
      <x:c r="E529" s="40" t="n">
        <x:v>0.06995534644907067</x:v>
      </x:c>
      <x:c r="F529" s="40" t="n">
        <x:v>0.0033239838964056324</x:v>
      </x:c>
      <x:c r="G529" s="40" t="n">
        <x:v>0.008718442982590608</x:v>
      </x:c>
      <x:c r="H529" s="40" t="n">
        <x:v>0.7273015225727225</x:v>
      </x:c>
    </x:row>
    <x:row r="530">
      <x:c r="A530" t="n">
        <x:v>481</x:v>
      </x:c>
      <x:c r="B530" s="40" t="n">
        <x:v>0.08123921378306898</x:v>
      </x:c>
      <x:c r="C530" s="40" t="n">
        <x:v>0.09670519292896632</x:v>
      </x:c>
      <x:c r="D530" s="40" t="n">
        <x:v>0.6389043417203722</x:v>
      </x:c>
      <x:c r="E530" s="40" t="n">
        <x:v>0.3682303391551477</x:v>
      </x:c>
      <x:c r="F530" s="40" t="n">
        <x:v>0.04627502586071411</x:v>
      </x:c>
      <x:c r="G530" s="40" t="n">
        <x:v>0.007496961998618758</x:v>
      </x:c>
      <x:c r="H530" s="40" t="n">
        <x:v>0.4104176748366831</x:v>
      </x:c>
    </x:row>
    <x:row r="531">
      <x:c r="A531" t="n">
        <x:v>482</x:v>
      </x:c>
      <x:c r="B531" s="40" t="n">
        <x:v>0.07755192202268132</x:v>
      </x:c>
      <x:c r="C531" s="40" t="n">
        <x:v>0.0791648412390641</x:v>
      </x:c>
      <x:c r="D531" s="40" t="n">
        <x:v>0.7338873540261269</x:v>
      </x:c>
      <x:c r="E531" s="40" t="n">
        <x:v>0.0638815335445984</x:v>
      </x:c>
      <x:c r="F531" s="40" t="n">
        <x:v>0.0895166236113825</x:v>
      </x:c>
      <x:c r="G531" s="40" t="n">
        <x:v>0.015998090608429612</x:v>
      </x:c>
      <x:c r="H531" s="40" t="n">
        <x:v>0.6518958518736743</x:v>
      </x:c>
    </x:row>
    <x:row r="532">
      <x:c r="A532" t="n">
        <x:v>483</x:v>
      </x:c>
      <x:c r="B532" s="40" t="n">
        <x:v>0.07587329732650035</x:v>
      </x:c>
      <x:c r="C532" s="40" t="n">
        <x:v>0.06386555675869741</x:v>
      </x:c>
      <x:c r="D532" s="40" t="n">
        <x:v>0.8834096817760978</x:v>
      </x:c>
      <x:c r="E532" s="40" t="n">
        <x:v>0.010745119349160717</x:v>
      </x:c>
      <x:c r="F532" s="40" t="n">
        <x:v>0.010658115260495487</x:v>
      </x:c>
      <x:c r="G532" s="40" t="n">
        <x:v>0.052619011670940685</x:v>
      </x:c>
      <x:c r="H532" s="40" t="n">
        <x:v>0.008027044894764636</x:v>
      </x:c>
    </x:row>
    <x:row r="533">
      <x:c r="A533" t="n">
        <x:v>484</x:v>
      </x:c>
      <x:c r="B533" s="40" t="n">
        <x:v>0.09386969497615345</x:v>
      </x:c>
      <x:c r="C533" s="40" t="n">
        <x:v>0.11726163088071796</x:v>
      </x:c>
      <x:c r="D533" s="40" t="n">
        <x:v>0.6346137970569873</x:v>
      </x:c>
      <x:c r="E533" s="40" t="n">
        <x:v>0.018098841216693813</x:v>
      </x:c>
      <x:c r="F533" s="40" t="n">
        <x:v>0.37533472478909163</x:v>
      </x:c>
      <x:c r="G533" s="40" t="n">
        <x:v>0.2104637345939534</x:v>
      </x:c>
      <x:c r="H533" s="40" t="n">
        <x:v>0.010877430578197962</x:v>
      </x:c>
    </x:row>
    <x:row r="534">
      <x:c r="A534" t="n">
        <x:v>485</x:v>
      </x:c>
      <x:c r="B534" s="40" t="n">
        <x:v>0.07184507496463775</x:v>
      </x:c>
      <x:c r="C534" s="40" t="n">
        <x:v>0.07942674984107631</x:v>
      </x:c>
      <x:c r="D534" s="40" t="n">
        <x:v>0.6596169290021353</x:v>
      </x:c>
      <x:c r="E534" s="40" t="n">
        <x:v>0.09533554910833038</x:v>
      </x:c>
      <x:c r="F534" s="40" t="n">
        <x:v>0.15684791976050794</x:v>
      </x:c>
      <x:c r="G534" s="40" t="n">
        <x:v>0.06071102765661235</x:v>
      </x:c>
      <x:c r="H534" s="40" t="n">
        <x:v>0.35582241366602885</x:v>
      </x:c>
    </x:row>
    <x:row r="535">
      <x:c r="A535" t="n">
        <x:v>486</x:v>
      </x:c>
      <x:c r="B535" s="40" t="n">
        <x:v>0.05549396555411183</x:v>
      </x:c>
      <x:c r="C535" s="40" t="n">
        <x:v>0.043846038074568994</x:v>
      </x:c>
      <x:c r="D535" s="40" t="n">
        <x:v>0.8219698057774848</x:v>
      </x:c>
      <x:c r="E535" s="40" t="n">
        <x:v>0.02875542758091095</x:v>
      </x:c>
      <x:c r="F535" s="40" t="n">
        <x:v>0.038139470308227036</x:v>
      </x:c>
      <x:c r="G535" s="40" t="n">
        <x:v>0.2802303223024639</x:v>
      </x:c>
      <x:c r="H535" s="40" t="n">
        <x:v>0.04180154604902079</x:v>
      </x:c>
    </x:row>
    <x:row r="536">
      <x:c r="A536" t="n">
        <x:v>487</x:v>
      </x:c>
      <x:c r="B536" s="40" t="n">
        <x:v>0.09940737920851686</x:v>
      </x:c>
      <x:c r="C536" s="40" t="n">
        <x:v>0.14927583605520972</x:v>
      </x:c>
      <x:c r="D536" s="40" t="n">
        <x:v>0.5356093468811648</x:v>
      </x:c>
      <x:c r="E536" s="40" t="n">
        <x:v>0.3438389000926059</x:v>
      </x:c>
      <x:c r="F536" s="40" t="n">
        <x:v>0.34942440142562897</x:v>
      </x:c>
      <x:c r="G536" s="40" t="n">
        <x:v>0.06989562682709789</x:v>
      </x:c>
      <x:c r="H536" s="40" t="n">
        <x:v>0.028351687377012724</x:v>
      </x:c>
    </x:row>
    <x:row r="537">
      <x:c r="A537" t="n">
        <x:v>488</x:v>
      </x:c>
      <x:c r="B537" s="40" t="n">
        <x:v>0.09880548090046948</x:v>
      </x:c>
      <x:c r="C537" s="40" t="n">
        <x:v>0.10781591639479278</x:v>
      </x:c>
      <x:c r="D537" s="40" t="n">
        <x:v>0.7359918405373382</x:v>
      </x:c>
      <x:c r="E537" s="40" t="n">
        <x:v>0.15290769442954025</x:v>
      </x:c>
      <x:c r="F537" s="40" t="n">
        <x:v>0.03365109893572101</x:v>
      </x:c>
      <x:c r="G537" s="40" t="n">
        <x:v>0.0442018844669442</x:v>
      </x:c>
      <x:c r="H537" s="40" t="n">
        <x:v>0.12114519084217253</x:v>
      </x:c>
    </x:row>
    <x:row r="538">
      <x:c r="A538" t="n">
        <x:v>489</x:v>
      </x:c>
      <x:c r="B538" s="40" t="n">
        <x:v>0.0658757146856315</x:v>
      </x:c>
      <x:c r="C538" s="40" t="n">
        <x:v>0.06150158078820462</x:v>
      </x:c>
      <x:c r="D538" s="40" t="n">
        <x:v>0.7548077291159415</x:v>
      </x:c>
      <x:c r="E538" s="40" t="n">
        <x:v>0.15480899261904013</x:v>
      </x:c>
      <x:c r="F538" s="40" t="n">
        <x:v>0.07510537633689457</x:v>
      </x:c>
      <x:c r="G538" s="40" t="n">
        <x:v>0.4378907248928562</x:v>
      </x:c>
      <x:c r="H538" s="40" t="n">
        <x:v>0.1802831550915426</x:v>
      </x:c>
    </x:row>
    <x:row r="539">
      <x:c r="A539" t="n">
        <x:v>490</x:v>
      </x:c>
      <x:c r="B539" s="40" t="n">
        <x:v>0.08893585607393684</x:v>
      </x:c>
      <x:c r="C539" s="40" t="n">
        <x:v>0.08847666533248334</x:v>
      </x:c>
      <x:c r="D539" s="40" t="n">
        <x:v>0.7853145194723002</x:v>
      </x:c>
      <x:c r="E539" s="40" t="n">
        <x:v>0.05358735474286717</x:v>
      </x:c>
      <x:c r="F539" s="40" t="n">
        <x:v>0.15619998905518473</x:v>
      </x:c>
      <x:c r="G539" s="40" t="n">
        <x:v>0.05000203273775961</x:v>
      </x:c>
      <x:c r="H539" s="40" t="n">
        <x:v>0.02880696525110601</x:v>
      </x:c>
    </x:row>
    <x:row r="540">
      <x:c r="A540" t="n">
        <x:v>491</x:v>
      </x:c>
      <x:c r="B540" s="40" t="n">
        <x:v>0.08664304932983943</x:v>
      </x:c>
      <x:c r="C540" s="40" t="n">
        <x:v>0.08709458604906291</x:v>
      </x:c>
      <x:c r="D540" s="40" t="n">
        <x:v>0.7714509732917687</x:v>
      </x:c>
      <x:c r="E540" s="40" t="n">
        <x:v>0.12896688829773387</x:v>
      </x:c>
      <x:c r="F540" s="40" t="n">
        <x:v>0.06012363451287825</x:v>
      </x:c>
      <x:c r="G540" s="40" t="n">
        <x:v>0.24606818261144495</x:v>
      </x:c>
      <x:c r="H540" s="40" t="n">
        <x:v>0.09936376564830358</x:v>
      </x:c>
    </x:row>
    <x:row r="541">
      <x:c r="A541" t="n">
        <x:v>492</x:v>
      </x:c>
      <x:c r="B541" s="40" t="n">
        <x:v>0.0951088049861871</x:v>
      </x:c>
      <x:c r="C541" s="40" t="n">
        <x:v>0.13412977932617462</x:v>
      </x:c>
      <x:c r="D541" s="40" t="n">
        <x:v>0.5640429680299737</x:v>
      </x:c>
      <x:c r="E541" s="40" t="n">
        <x:v>0.5376152793673148</x:v>
      </x:c>
      <x:c r="F541" s="40" t="n">
        <x:v>0.13140011854263683</x:v>
      </x:c>
      <x:c r="G541" s="40" t="n">
        <x:v>0.01225673727506183</x:v>
      </x:c>
      <x:c r="H541" s="40" t="n">
        <x:v>0.13169127005659564</x:v>
      </x:c>
    </x:row>
    <x:row r="542">
      <x:c r="A542" t="n">
        <x:v>493</x:v>
      </x:c>
      <x:c r="B542" s="40" t="n">
        <x:v>0.09537341445525874</x:v>
      </x:c>
      <x:c r="C542" s="40" t="n">
        <x:v>0.1122207670037649</x:v>
      </x:c>
      <x:c r="D542" s="40" t="n">
        <x:v>0.6765197772963497</x:v>
      </x:c>
      <x:c r="E542" s="40" t="n">
        <x:v>0.14302084423002037</x:v>
      </x:c>
      <x:c r="F542" s="40" t="n">
        <x:v>0.2512542271515204</x:v>
      </x:c>
      <x:c r="G542" s="40" t="n">
        <x:v>0.02412357826454265</x:v>
      </x:c>
      <x:c r="H542" s="40" t="n">
        <x:v>0.05444068971470392</x:v>
      </x:c>
    </x:row>
    <x:row r="543">
      <x:c r="A543" t="n">
        <x:v>494</x:v>
      </x:c>
      <x:c r="B543" s="40" t="n">
        <x:v>0.0897542335068378</x:v>
      </x:c>
      <x:c r="C543" s="40" t="n">
        <x:v>0.11997869755233768</x:v>
      </x:c>
      <x:c r="D543" s="40" t="n">
        <x:v>0.5859405776790073</x:v>
      </x:c>
      <x:c r="E543" s="40" t="n">
        <x:v>0.48129009674457335</x:v>
      </x:c>
      <x:c r="F543" s="40" t="n">
        <x:v>0.12111698001814386</x:v>
      </x:c>
      <x:c r="G543" s="40" t="n">
        <x:v>0.06511670721350354</x:v>
      </x:c>
      <x:c r="H543" s="40" t="n">
        <x:v>0.09655996847538484</x:v>
      </x:c>
    </x:row>
    <x:row r="544">
      <x:c r="A544" t="n">
        <x:v>495</x:v>
      </x:c>
      <x:c r="B544" s="40" t="n">
        <x:v>0.09028640555694832</x:v>
      </x:c>
      <x:c r="C544" s="40" t="n">
        <x:v>0.1409712715097105</x:v>
      </x:c>
      <x:c r="D544" s="40" t="n">
        <x:v>0.5024609528206108</x:v>
      </x:c>
      <x:c r="E544" s="40" t="n">
        <x:v>0.547263782822336</x:v>
      </x:c>
      <x:c r="F544" s="40" t="n">
        <x:v>0.17165035571344575</x:v>
      </x:c>
      <x:c r="G544" s="40" t="n">
        <x:v>0.039850796056705974</x:v>
      </x:c>
      <x:c r="H544" s="40" t="n">
        <x:v>0.2232481254211815</x:v>
      </x:c>
    </x:row>
    <x:row r="545">
      <x:c r="A545" t="n">
        <x:v>496</x:v>
      </x:c>
      <x:c r="B545" s="40" t="n">
        <x:v>0.06712247951086064</x:v>
      </x:c>
      <x:c r="C545" s="40" t="n">
        <x:v>0.05935178905182726</x:v>
      </x:c>
      <x:c r="D545" s="40" t="n">
        <x:v>0.8031541107444834</x:v>
      </x:c>
      <x:c r="E545" s="40" t="n">
        <x:v>0.18071985056306034</x:v>
      </x:c>
      <x:c r="F545" s="40" t="n">
        <x:v>0.0647513988975236</x:v>
      </x:c>
      <x:c r="G545" s="40" t="n">
        <x:v>0.30918296906250026</x:v>
      </x:c>
      <x:c r="H545" s="40" t="n">
        <x:v>0.13315418660981748</x:v>
      </x:c>
    </x:row>
    <x:row r="546">
      <x:c r="A546" t="n">
        <x:v>497</x:v>
      </x:c>
      <x:c r="B546" s="40" t="n">
        <x:v>0.08376607860889741</x:v>
      </x:c>
      <x:c r="C546" s="40" t="n">
        <x:v>0.09467053966130279</x:v>
      </x:c>
      <x:c r="D546" s="40" t="n">
        <x:v>0.6793267756277438</x:v>
      </x:c>
      <x:c r="E546" s="40" t="n">
        <x:v>0.4163952688405267</x:v>
      </x:c>
      <x:c r="F546" s="40" t="n">
        <x:v>0.030041879349196922</x:v>
      </x:c>
      <x:c r="G546" s="40" t="n">
        <x:v>0.19751235527933905</x:v>
      </x:c>
      <x:c r="H546" s="40" t="n">
        <x:v>0.19925848544181024</x:v>
      </x:c>
    </x:row>
    <x:row r="547">
      <x:c r="A547" t="n">
        <x:v>498</x:v>
      </x:c>
      <x:c r="B547" s="40" t="n">
        <x:v>0.06712001490327622</x:v>
      </x:c>
      <x:c r="C547" s="40" t="n">
        <x:v>0.06598878327675022</x:v>
      </x:c>
      <x:c r="D547" s="40" t="n">
        <x:v>0.7223374395239722</x:v>
      </x:c>
      <x:c r="E547" s="40" t="n">
        <x:v>0.1329231692782322</x:v>
      </x:c>
      <x:c r="F547" s="40" t="n">
        <x:v>0.03612473850920008</x:v>
      </x:c>
      <x:c r="G547" s="40" t="n">
        <x:v>0.2579725702671786</x:v>
      </x:c>
      <x:c r="H547" s="40" t="n">
        <x:v>0.5117506592338675</x:v>
      </x:c>
    </x:row>
    <x:row r="548">
      <x:c r="A548" t="n">
        <x:v>499</x:v>
      </x:c>
      <x:c r="B548" s="40" t="n">
        <x:v>0.09247204480274554</x:v>
      </x:c>
      <x:c r="C548" s="40" t="n">
        <x:v>0.14813445073636883</x:v>
      </x:c>
      <x:c r="D548" s="40" t="n">
        <x:v>0.4929184148989626</x:v>
      </x:c>
      <x:c r="E548" s="40" t="n">
        <x:v>0.2378203236224377</x:v>
      </x:c>
      <x:c r="F548" s="40" t="n">
        <x:v>0.39533665866159295</x:v>
      </x:c>
      <x:c r="G548" s="40" t="n">
        <x:v>0.04352689132695685</x:v>
      </x:c>
      <x:c r="H548" s="40" t="n">
        <x:v>0.17187242090654162</x:v>
      </x:c>
    </x:row>
    <x:row r="549">
      <x:c r="A549" t="n">
        <x:v>500</x:v>
      </x:c>
      <x:c r="B549" s="40" t="n">
        <x:v>0.10138040779722943</x:v>
      </x:c>
      <x:c r="C549" s="40" t="n">
        <x:v>0.1110204424668993</x:v>
      </x:c>
      <x:c r="D549" s="40" t="n">
        <x:v>0.7379412279662788</x:v>
      </x:c>
      <x:c r="E549" s="40" t="n">
        <x:v>0.1569340771438121</x:v>
      </x:c>
      <x:c r="F549" s="40" t="n">
        <x:v>0.12567888672019215</x:v>
      </x:c>
      <x:c r="G549" s="40" t="n">
        <x:v>0.014504325136463556</x:v>
      </x:c>
      <x:c r="H549" s="40" t="n">
        <x:v>0.013363964550075463</x:v>
      </x:c>
    </x:row>
    <x:row r="550">
      <x:c r="A550" t="n">
        <x:v>501</x:v>
      </x:c>
      <x:c r="B550" s="40" t="n">
        <x:v>0.08227503445802109</x:v>
      </x:c>
      <x:c r="C550" s="40" t="n">
        <x:v>0.07898507774000303</x:v>
      </x:c>
      <x:c r="D550" s="40" t="n">
        <x:v>0.795355149373466</x:v>
      </x:c>
      <x:c r="E550" s="40" t="n">
        <x:v>0.221062546983046</x:v>
      </x:c>
      <x:c r="F550" s="40" t="n">
        <x:v>0.049119149020304446</x:v>
      </x:c>
      <x:c r="G550" s="40" t="n">
        <x:v>0.07848966998816301</x:v>
      </x:c>
      <x:c r="H550" s="40" t="n">
        <x:v>0.21008494307548828</x:v>
      </x:c>
    </x:row>
    <x:row r="551">
      <x:c r="A551" t="n">
        <x:v>502</x:v>
      </x:c>
      <x:c r="B551" s="40" t="n">
        <x:v>0.07292180582837404</x:v>
      </x:c>
      <x:c r="C551" s="40" t="n">
        <x:v>0.07098463630950246</x:v>
      </x:c>
      <x:c r="D551" s="40" t="n">
        <x:v>0.7532328466317764</x:v>
      </x:c>
      <x:c r="E551" s="40" t="n">
        <x:v>0.06417621629478228</x:v>
      </x:c>
      <x:c r="F551" s="40" t="n">
        <x:v>0.042802264704697814</x:v>
      </x:c>
      <x:c r="G551" s="40" t="n">
        <x:v>0.270856766050127</x:v>
      </x:c>
      <x:c r="H551" s="40" t="n">
        <x:v>0.4456619367098666</x:v>
      </x:c>
    </x:row>
    <x:row r="552">
      <x:c r="A552" t="n">
        <x:v>503</x:v>
      </x:c>
      <x:c r="B552" s="40" t="n">
        <x:v>0.06964688909584328</x:v>
      </x:c>
      <x:c r="C552" s="40" t="n">
        <x:v>0.07351515039500987</x:v>
      </x:c>
      <x:c r="D552" s="40" t="n">
        <x:v>0.6827578080477432</x:v>
      </x:c>
      <x:c r="E552" s="40" t="n">
        <x:v>0.17604409805879745</x:v>
      </x:c>
      <x:c r="F552" s="40" t="n">
        <x:v>0.14661908212929708</x:v>
      </x:c>
      <x:c r="G552" s="40" t="n">
        <x:v>0.28580058726691937</x:v>
      </x:c>
      <x:c r="H552" s="40" t="n">
        <x:v>0.1454084574130976</x:v>
      </x:c>
    </x:row>
    <x:row r="553">
      <x:c r="A553" t="n">
        <x:v>504</x:v>
      </x:c>
      <x:c r="B553" s="40" t="n">
        <x:v>0.07940901353800489</x:v>
      </x:c>
      <x:c r="C553" s="40" t="n">
        <x:v>0.09159440370963598</x:v>
      </x:c>
      <x:c r="D553" s="40" t="n">
        <x:v>0.6545723860403415</x:v>
      </x:c>
      <x:c r="E553" s="40" t="n">
        <x:v>0.3191295490502988</x:v>
      </x:c>
      <x:c r="F553" s="40" t="n">
        <x:v>0.09672961210875362</x:v>
      </x:c>
      <x:c r="G553" s="40" t="n">
        <x:v>0.05835744775769633</x:v>
      </x:c>
      <x:c r="H553" s="40" t="n">
        <x:v>0.04599615305850814</x:v>
      </x:c>
    </x:row>
    <x:row r="554">
      <x:c r="A554" t="n">
        <x:v>505</x:v>
      </x:c>
      <x:c r="B554" s="40" t="n">
        <x:v>0.07975476744826022</x:v>
      </x:c>
      <x:c r="C554" s="40" t="n">
        <x:v>0.09844532196067107</x:v>
      </x:c>
      <x:c r="D554" s="40" t="n">
        <x:v>0.6125321152233552</x:v>
      </x:c>
      <x:c r="E554" s="40" t="n">
        <x:v>0.09320532296654192</x:v>
      </x:c>
      <x:c r="F554" s="40" t="n">
        <x:v>0.27194456906212866</x:v>
      </x:c>
      <x:c r="G554" s="40" t="n">
        <x:v>0.152929407095457</x:v>
      </x:c>
      <x:c r="H554" s="40" t="n">
        <x:v>0.20189112309331422</x:v>
      </x:c>
    </x:row>
    <x:row r="555">
      <x:c r="A555" t="n">
        <x:v>506</x:v>
      </x:c>
      <x:c r="B555" s="40" t="n">
        <x:v>0.08311383333353015</x:v>
      </x:c>
      <x:c r="C555" s="40" t="n">
        <x:v>0.12624490852612075</x:v>
      </x:c>
      <x:c r="D555" s="40" t="n">
        <x:v>0.504257858181365</x:v>
      </x:c>
      <x:c r="E555" s="40" t="n">
        <x:v>0.3087660178444376</x:v>
      </x:c>
      <x:c r="F555" s="40" t="n">
        <x:v>0.25651805878392386</x:v>
      </x:c>
      <x:c r="G555" s="40" t="n">
        <x:v>0.011935181717149744</x:v>
      </x:c>
      <x:c r="H555" s="40" t="n">
        <x:v>0.008574573849527818</x:v>
      </x:c>
    </x:row>
    <x:row r="556">
      <x:c r="A556" t="n">
        <x:v>507</x:v>
      </x:c>
      <x:c r="B556" s="40" t="n">
        <x:v>0.06402550211814477</x:v>
      </x:c>
      <x:c r="C556" s="40" t="n">
        <x:v>0.059208493775334</x:v>
      </x:c>
      <x:c r="D556" s="40" t="n">
        <x:v>0.7527915865150242</x:v>
      </x:c>
      <x:c r="E556" s="40" t="n">
        <x:v>0.0644586933643253</x:v>
      </x:c>
      <x:c r="F556" s="40" t="n">
        <x:v>0.1113097686594352</x:v>
      </x:c>
      <x:c r="G556" s="40" t="n">
        <x:v>0.37166537186257625</x:v>
      </x:c>
      <x:c r="H556" s="40" t="n">
        <x:v>0.24578405103798848</x:v>
      </x:c>
    </x:row>
    <x:row r="557">
      <x:c r="A557" t="n">
        <x:v>508</x:v>
      </x:c>
      <x:c r="B557" s="40" t="n">
        <x:v>0.07974129429711999</x:v>
      </x:c>
      <x:c r="C557" s="40" t="n">
        <x:v>0.09748371693533336</x:v>
      </x:c>
      <x:c r="D557" s="40" t="n">
        <x:v>0.618436083877126</x:v>
      </x:c>
      <x:c r="E557" s="40" t="n">
        <x:v>0.05749369658408111</x:v>
      </x:c>
      <x:c r="F557" s="40" t="n">
        <x:v>0.27248359622068136</x:v>
      </x:c>
      <x:c r="G557" s="40" t="n">
        <x:v>0.08234392096137684</x:v>
      </x:c>
      <x:c r="H557" s="40" t="n">
        <x:v>0.13943948357287386</x:v>
      </x:c>
    </x:row>
    <x:row r="558">
      <x:c r="A558" t="n">
        <x:v>509</x:v>
      </x:c>
      <x:c r="B558" s="40" t="n">
        <x:v>0.08071147496196182</x:v>
      </x:c>
      <x:c r="C558" s="40" t="n">
        <x:v>0.08770989115652347</x:v>
      </x:c>
      <x:c r="D558" s="40" t="n">
        <x:v>0.6984118666707477</x:v>
      </x:c>
      <x:c r="E558" s="40" t="n">
        <x:v>0.07817851609561734</x:v>
      </x:c>
      <x:c r="F558" s="40" t="n">
        <x:v>0.23504364048834486</x:v>
      </x:c>
      <x:c r="G558" s="40" t="n">
        <x:v>0.38864117334103243</x:v>
      </x:c>
      <x:c r="H558" s="40" t="n">
        <x:v>0.10525035290192314</x:v>
      </x:c>
    </x:row>
    <x:row r="559">
      <x:c r="A559" t="n">
        <x:v>510</x:v>
      </x:c>
      <x:c r="B559" s="40" t="n">
        <x:v>0.0796868087224316</x:v>
      </x:c>
      <x:c r="C559" s="40" t="n">
        <x:v>0.07832176454679955</x:v>
      </x:c>
      <x:c r="D559" s="40" t="n">
        <x:v>0.7690450147173904</x:v>
      </x:c>
      <x:c r="E559" s="40" t="n">
        <x:v>0.08618760053933362</x:v>
      </x:c>
      <x:c r="F559" s="40" t="n">
        <x:v>0.07246752446969905</x:v>
      </x:c>
      <x:c r="G559" s="40" t="n">
        <x:v>0.30027591136597487</x:v>
      </x:c>
      <x:c r="H559" s="40" t="n">
        <x:v>0.24124374645888558</x:v>
      </x:c>
    </x:row>
    <x:row r="560">
      <x:c r="A560" t="n">
        <x:v>511</x:v>
      </x:c>
      <x:c r="B560" s="40" t="n">
        <x:v>0.08761848174308152</x:v>
      </x:c>
      <x:c r="C560" s="40" t="n">
        <x:v>0.0871393809204374</x:v>
      </x:c>
      <x:c r="D560" s="40" t="n">
        <x:v>0.7822483344410386</x:v>
      </x:c>
      <x:c r="E560" s="40" t="n">
        <x:v>0.07952463128269176</x:v>
      </x:c>
      <x:c r="F560" s="40" t="n">
        <x:v>0.15665262436523938</x:v>
      </x:c>
      <x:c r="G560" s="40" t="n">
        <x:v>0.06793957032254762</x:v>
      </x:c>
      <x:c r="H560" s="40" t="n">
        <x:v>0.039688915128293</x:v>
      </x:c>
    </x:row>
    <x:row r="561">
      <x:c r="A561" t="n">
        <x:v>512</x:v>
      </x:c>
      <x:c r="B561" s="40" t="n">
        <x:v>0.0726334167457388</x:v>
      </x:c>
      <x:c r="C561" s="40" t="n">
        <x:v>0.08161611061655058</x:v>
      </x:c>
      <x:c r="D561" s="40" t="n">
        <x:v>0.6515817795060255</x:v>
      </x:c>
      <x:c r="E561" s="40" t="n">
        <x:v>0.06544799681687095</x:v>
      </x:c>
      <x:c r="F561" s="40" t="n">
        <x:v>0.17804098008816516</x:v>
      </x:c>
      <x:c r="G561" s="40" t="n">
        <x:v>0.023390953154692695</x:v>
      </x:c>
      <x:c r="H561" s="40" t="n">
        <x:v>0.2678899413003321</x:v>
      </x:c>
    </x:row>
    <x:row r="562">
      <x:c r="A562" t="n">
        <x:v>513</x:v>
      </x:c>
      <x:c r="B562" s="40" t="n">
        <x:v>0.0780496750329525</x:v>
      </x:c>
      <x:c r="C562" s="40" t="n">
        <x:v>0.09916969497332892</x:v>
      </x:c>
      <x:c r="D562" s="40" t="n">
        <x:v>0.5908642644798427</x:v>
      </x:c>
      <x:c r="E562" s="40" t="n">
        <x:v>0.38219788637512075</x:v>
      </x:c>
      <x:c r="F562" s="40" t="n">
        <x:v>0.09908308958652134</x:v>
      </x:c>
      <x:c r="G562" s="40" t="n">
        <x:v>0.16931094451432768</x:v>
      </x:c>
      <x:c r="H562" s="40" t="n">
        <x:v>0.32674696447285767</x:v>
      </x:c>
    </x:row>
    <x:row r="563">
      <x:c r="A563" t="n">
        <x:v>514</x:v>
      </x:c>
      <x:c r="B563" s="40" t="n">
        <x:v>0.06908391910193995</x:v>
      </x:c>
      <x:c r="C563" s="40" t="n">
        <x:v>0.0736750904088272</x:v>
      </x:c>
      <x:c r="D563" s="40" t="n">
        <x:v>0.6736343677719802</x:v>
      </x:c>
      <x:c r="E563" s="40" t="n">
        <x:v>0.01570026799772891</x:v>
      </x:c>
      <x:c r="F563" s="40" t="n">
        <x:v>0.23868105115922683</x:v>
      </x:c>
      <x:c r="G563" s="40" t="n">
        <x:v>0.3381097384443782</x:v>
      </x:c>
      <x:c r="H563" s="40" t="n">
        <x:v>0.010043074642199942</x:v>
      </x:c>
    </x:row>
    <x:row r="564">
      <x:c r="A564" t="n">
        <x:v>515</x:v>
      </x:c>
      <x:c r="B564" s="40" t="n">
        <x:v>0.09864622177575183</x:v>
      </x:c>
      <x:c r="C564" s="40" t="n">
        <x:v>0.11464007357650441</x:v>
      </x:c>
      <x:c r="D564" s="40" t="n">
        <x:v>0.6907913886591942</x:v>
      </x:c>
      <x:c r="E564" s="40" t="n">
        <x:v>0.40699480233057256</x:v>
      </x:c>
      <x:c r="F564" s="40" t="n">
        <x:v>0.05485975556225775</x:v>
      </x:c>
      <x:c r="G564" s="40" t="n">
        <x:v>0.04149688101090025</x:v>
      </x:c>
      <x:c r="H564" s="40" t="n">
        <x:v>0.09245030711671005</x:v>
      </x:c>
    </x:row>
    <x:row r="565">
      <x:c r="A565" t="n">
        <x:v>516</x:v>
      </x:c>
      <x:c r="B565" s="40" t="n">
        <x:v>0.08855245848397547</x:v>
      </x:c>
      <x:c r="C565" s="40" t="n">
        <x:v>0.09001652422515947</x:v>
      </x:c>
      <x:c r="D565" s="40" t="n">
        <x:v>0.7676214220101643</x:v>
      </x:c>
      <x:c r="E565" s="40" t="n">
        <x:v>0.04287182961561643</x:v>
      </x:c>
      <x:c r="F565" s="40" t="n">
        <x:v>0.008040786820719835</x:v>
      </x:c>
      <x:c r="G565" s="40" t="n">
        <x:v>0.07312780720638919</x:v>
      </x:c>
      <x:c r="H565" s="40" t="n">
        <x:v>0.18464474779978685</x:v>
      </x:c>
    </x:row>
    <x:row r="566">
      <x:c r="A566" t="n">
        <x:v>517</x:v>
      </x:c>
      <x:c r="B566" s="40" t="n">
        <x:v>0.05494809727327264</x:v>
      </x:c>
      <x:c r="C566" s="40" t="n">
        <x:v>0.04158126830773646</x:v>
      </x:c>
      <x:c r="D566" s="40" t="n">
        <x:v>0.8536115554903013</x:v>
      </x:c>
      <x:c r="E566" s="40" t="n">
        <x:v>0.03322533145280085</x:v>
      </x:c>
      <x:c r="F566" s="40" t="n">
        <x:v>0.011293698245715933</x:v>
      </x:c>
      <x:c r="G566" s="40" t="n">
        <x:v>0.2931128261600099</x:v>
      </x:c>
      <x:c r="H566" s="40" t="n">
        <x:v>0.041187838198631775</x:v>
      </x:c>
    </x:row>
    <x:row r="567">
      <x:c r="A567" t="n">
        <x:v>518</x:v>
      </x:c>
      <x:c r="B567" s="40" t="n">
        <x:v>0.08399177521228166</x:v>
      </x:c>
      <x:c r="C567" s="40" t="n">
        <x:v>0.09674758828947524</x:v>
      </x:c>
      <x:c r="D567" s="40" t="n">
        <x:v>0.6670753266255455</x:v>
      </x:c>
      <x:c r="E567" s="40" t="n">
        <x:v>0.012339869667197583</x:v>
      </x:c>
      <x:c r="F567" s="40" t="n">
        <x:v>0.30750913536526864</x:v>
      </x:c>
      <x:c r="G567" s="40" t="n">
        <x:v>0.29564405501814767</x:v>
      </x:c>
      <x:c r="H567" s="40" t="n">
        <x:v>0.07668066311120264</x:v>
      </x:c>
    </x:row>
    <x:row r="568">
      <x:c r="A568" t="n">
        <x:v>519</x:v>
      </x:c>
      <x:c r="B568" s="40" t="n">
        <x:v>0.09579648717644837</x:v>
      </x:c>
      <x:c r="C568" s="40" t="n">
        <x:v>0.12408124070543382</x:v>
      </x:c>
      <x:c r="D568" s="40" t="n">
        <x:v>0.6152633596228941</x:v>
      </x:c>
      <x:c r="E568" s="40" t="n">
        <x:v>0.03072509660036382</x:v>
      </x:c>
      <x:c r="F568" s="40" t="n">
        <x:v>0.3746956417759863</x:v>
      </x:c>
      <x:c r="G568" s="40" t="n">
        <x:v>0.0627427827536071</x:v>
      </x:c>
      <x:c r="H568" s="40" t="n">
        <x:v>0.1022507052682649</x:v>
      </x:c>
    </x:row>
    <x:row r="569">
      <x:c r="A569" t="n">
        <x:v>520</x:v>
      </x:c>
      <x:c r="B569" s="40" t="n">
        <x:v>0.07836414599719171</x:v>
      </x:c>
      <x:c r="C569" s="40" t="n">
        <x:v>0.09166043410830631</x:v>
      </x:c>
      <x:c r="D569" s="40" t="n">
        <x:v>0.6427015147423034</x:v>
      </x:c>
      <x:c r="E569" s="40" t="n">
        <x:v>0.10314165977433916</x:v>
      </x:c>
      <x:c r="F569" s="40" t="n">
        <x:v>0.2566324537714348</x:v>
      </x:c>
      <x:c r="G569" s="40" t="n">
        <x:v>0.1994973478254061</x:v>
      </x:c>
      <x:c r="H569" s="40" t="n">
        <x:v>0.01913389296700501</x:v>
      </x:c>
    </x:row>
    <x:row r="570">
      <x:c r="A570" t="n">
        <x:v>521</x:v>
      </x:c>
      <x:c r="B570" s="40" t="n">
        <x:v>0.07342182708328453</x:v>
      </x:c>
      <x:c r="C570" s="40" t="n">
        <x:v>0.07330630382716873</x:v>
      </x:c>
      <x:c r="D570" s="40" t="n">
        <x:v>0.7361983637406747</x:v>
      </x:c>
      <x:c r="E570" s="40" t="n">
        <x:v>0.2705851453634266</x:v>
      </x:c>
      <x:c r="F570" s="40" t="n">
        <x:v>0.09076843079265948</x:v>
      </x:c>
      <x:c r="G570" s="40" t="n">
        <x:v>0.3429907575515014</x:v>
      </x:c>
      <x:c r="H570" s="40" t="n">
        <x:v>0.04699199579465765</x:v>
      </x:c>
    </x:row>
    <x:row r="571">
      <x:c r="A571" t="n">
        <x:v>522</x:v>
      </x:c>
      <x:c r="B571" s="40" t="n">
        <x:v>0.08703252904722641</x:v>
      </x:c>
      <x:c r="C571" s="40" t="n">
        <x:v>0.1051077441316103</x:v>
      </x:c>
      <x:c r="D571" s="40" t="n">
        <x:v>0.6429467538449103</x:v>
      </x:c>
      <x:c r="E571" s="40" t="n">
        <x:v>0.2567653637006521</x:v>
      </x:c>
      <x:c r="F571" s="40" t="n">
        <x:v>0.1819802456792317</x:v>
      </x:c>
      <x:c r="G571" s="40" t="n">
        <x:v>0.055975963569020286</x:v>
      </x:c>
      <x:c r="H571" s="40" t="n">
        <x:v>0.24013287019836044</x:v>
      </x:c>
    </x:row>
    <x:row r="572">
      <x:c r="A572" t="n">
        <x:v>523</x:v>
      </x:c>
      <x:c r="B572" s="40" t="n">
        <x:v>0.07103017040010932</x:v>
      </x:c>
      <x:c r="C572" s="40" t="n">
        <x:v>0.07961407881042674</x:v>
      </x:c>
      <x:c r="D572" s="40" t="n">
        <x:v>0.6478291907273619</x:v>
      </x:c>
      <x:c r="E572" s="40" t="n">
        <x:v>0.3148478029736389</x:v>
      </x:c>
      <x:c r="F572" s="40" t="n">
        <x:v>0.031133881835274747</x:v>
      </x:c>
      <x:c r="G572" s="40" t="n">
        <x:v>0.07705790982625076</x:v>
      </x:c>
      <x:c r="H572" s="40" t="n">
        <x:v>0.31624665833776316</x:v>
      </x:c>
    </x:row>
    <x:row r="573">
      <x:c r="A573" t="n">
        <x:v>524</x:v>
      </x:c>
      <x:c r="B573" s="40" t="n">
        <x:v>0.07673762480949257</x:v>
      </x:c>
      <x:c r="C573" s="40" t="n">
        <x:v>0.07832112968843517</x:v>
      </x:c>
      <x:c r="D573" s="40" t="n">
        <x:v>0.7313962258144611</x:v>
      </x:c>
      <x:c r="E573" s="40" t="n">
        <x:v>0.24165255734900273</x:v>
      </x:c>
      <x:c r="F573" s="40" t="n">
        <x:v>0.058437447033820145</x:v>
      </x:c>
      <x:c r="G573" s="40" t="n">
        <x:v>0.009322891132307807</x:v>
      </x:c>
      <x:c r="H573" s="40" t="n">
        <x:v>0.08996861070761984</x:v>
      </x:c>
    </x:row>
    <x:row r="574">
      <x:c r="A574" t="n">
        <x:v>525</x:v>
      </x:c>
      <x:c r="B574" s="40" t="n">
        <x:v>0.06811096605728273</x:v>
      </x:c>
      <x:c r="C574" s="40" t="n">
        <x:v>0.07474627557164139</x:v>
      </x:c>
      <x:c r="D574" s="40" t="n">
        <x:v>0.6509638043008661</x:v>
      </x:c>
      <x:c r="E574" s="40" t="n">
        <x:v>0.011679842351613417</x:v>
      </x:c>
      <x:c r="F574" s="40" t="n">
        <x:v>0.16724330801403084</x:v>
      </x:c>
      <x:c r="G574" s="40" t="n">
        <x:v>0.031860710158689846</x:v>
      </x:c>
      <x:c r="H574" s="40" t="n">
        <x:v>0.08374328822972452</x:v>
      </x:c>
    </x:row>
    <x:row r="575">
      <x:c r="A575" t="n">
        <x:v>526</x:v>
      </x:c>
      <x:c r="B575" s="40" t="n">
        <x:v>0.06999198937100762</x:v>
      </x:c>
      <x:c r="C575" s="40" t="n">
        <x:v>0.06860189736072321</x:v>
      </x:c>
      <x:c r="D575" s="40" t="n">
        <x:v>0.7366872515408907</x:v>
      </x:c>
      <x:c r="E575" s="40" t="n">
        <x:v>0.19340778599616412</x:v>
      </x:c>
      <x:c r="F575" s="40" t="n">
        <x:v>0.07161934666789156</x:v>
      </x:c>
      <x:c r="G575" s="40" t="n">
        <x:v>0.423182315915975</x:v>
      </x:c>
      <x:c r="H575" s="40" t="n">
        <x:v>0.21058298485810573</x:v>
      </x:c>
    </x:row>
    <x:row r="576">
      <x:c r="A576" t="n">
        <x:v>527</x:v>
      </x:c>
      <x:c r="B576" s="40" t="n">
        <x:v>0.09736890972969761</x:v>
      </x:c>
      <x:c r="C576" s="40" t="n">
        <x:v>0.11078318091772567</x:v>
      </x:c>
      <x:c r="D576" s="40" t="n">
        <x:v>0.7033113052938598</x:v>
      </x:c>
      <x:c r="E576" s="40" t="n">
        <x:v>0.07420680221575762</x:v>
      </x:c>
      <x:c r="F576" s="40" t="n">
        <x:v>0.07997414484182488</x:v>
      </x:c>
      <x:c r="G576" s="40" t="n">
        <x:v>0.22338668002182394</x:v>
      </x:c>
      <x:c r="H576" s="40" t="n">
        <x:v>0.0029226833237471846</x:v>
      </x:c>
    </x:row>
    <x:row r="577">
      <x:c r="A577" t="n">
        <x:v>528</x:v>
      </x:c>
      <x:c r="B577" s="40" t="n">
        <x:v>0.09522078630169414</x:v>
      </x:c>
      <x:c r="C577" s="40" t="n">
        <x:v>0.12754296408225363</x:v>
      </x:c>
      <x:c r="D577" s="40" t="n">
        <x:v>0.5940503319256811</x:v>
      </x:c>
      <x:c r="E577" s="40" t="n">
        <x:v>0.08329714870182497</x:v>
      </x:c>
      <x:c r="F577" s="40" t="n">
        <x:v>0.35772800644628455</x:v>
      </x:c>
      <x:c r="G577" s="40" t="n">
        <x:v>0.07319975501403712</x:v>
      </x:c>
      <x:c r="H577" s="40" t="n">
        <x:v>0.30782142486704234</x:v>
      </x:c>
    </x:row>
    <x:row r="578">
      <x:c r="A578" t="n">
        <x:v>529</x:v>
      </x:c>
      <x:c r="B578" s="40" t="n">
        <x:v>0.08243850484803515</x:v>
      </x:c>
      <x:c r="C578" s="40" t="n">
        <x:v>0.08973462219456145</x:v>
      </x:c>
      <x:c r="D578" s="40" t="n">
        <x:v>0.7018991906783367</x:v>
      </x:c>
      <x:c r="E578" s="40" t="n">
        <x:v>0.2815532543174422</x:v>
      </x:c>
      <x:c r="F578" s="40" t="n">
        <x:v>0.14469736622524543</x:v>
      </x:c>
      <x:c r="G578" s="40" t="n">
        <x:v>0.33849346450773554</x:v>
      </x:c>
      <x:c r="H578" s="40" t="n">
        <x:v>0.04061115559151122</x:v>
      </x:c>
    </x:row>
    <x:row r="579">
      <x:c r="A579" t="n">
        <x:v>530</x:v>
      </x:c>
      <x:c r="B579" s="40" t="n">
        <x:v>0.06553238189531928</x:v>
      </x:c>
      <x:c r="C579" s="40" t="n">
        <x:v>0.060022353943439286</x:v>
      </x:c>
      <x:c r="D579" s="40" t="n">
        <x:v>0.767689580866725</x:v>
      </x:c>
      <x:c r="E579" s="40" t="n">
        <x:v>0.02282926656779658</x:v>
      </x:c>
      <x:c r="F579" s="40" t="n">
        <x:v>0.10783610608699473</x:v>
      </x:c>
      <x:c r="G579" s="40" t="n">
        <x:v>0.1965621422611603</x:v>
      </x:c>
      <x:c r="H579" s="40" t="n">
        <x:v>0.37995314820404413</x:v>
      </x:c>
    </x:row>
    <x:row r="580">
      <x:c r="A580" t="n">
        <x:v>531</x:v>
      </x:c>
      <x:c r="B580" s="40" t="n">
        <x:v>0.09691273997937484</x:v>
      </x:c>
      <x:c r="C580" s="40" t="n">
        <x:v>0.11460686825500163</x:v>
      </x:c>
      <x:c r="D580" s="40" t="n">
        <x:v>0.6758660715968762</x:v>
      </x:c>
      <x:c r="E580" s="40" t="n">
        <x:v>0.3864595650573172</x:v>
      </x:c>
      <x:c r="F580" s="40" t="n">
        <x:v>0.09162018204237969</x:v>
      </x:c>
      <x:c r="G580" s="40" t="n">
        <x:v>0.05386376024590423</x:v>
      </x:c>
      <x:c r="H580" s="40" t="n">
        <x:v>0.18234925230347312</x:v>
      </x:c>
    </x:row>
    <x:row r="581">
      <x:c r="A581" t="n">
        <x:v>532</x:v>
      </x:c>
      <x:c r="B581" s="40" t="n">
        <x:v>0.087033422268705</x:v>
      </x:c>
      <x:c r="C581" s="40" t="n">
        <x:v>0.11733192489745925</x:v>
      </x:c>
      <x:c r="D581" s="40" t="n">
        <x:v>0.5759692102036097</x:v>
      </x:c>
      <x:c r="E581" s="40" t="n">
        <x:v>0.46182322568160167</x:v>
      </x:c>
      <x:c r="F581" s="40" t="n">
        <x:v>0.10661445516880129</x:v>
      </x:c>
      <x:c r="G581" s="40" t="n">
        <x:v>0.0056813458996590105</x:v>
      </x:c>
      <x:c r="H581" s="40" t="n">
        <x:v>0.17853309817095797</x:v>
      </x:c>
    </x:row>
    <x:row r="582">
      <x:c r="A582" t="n">
        <x:v>533</x:v>
      </x:c>
      <x:c r="B582" s="40" t="n">
        <x:v>0.08781237815152809</x:v>
      </x:c>
      <x:c r="C582" s="40" t="n">
        <x:v>0.11544159368416115</x:v>
      </x:c>
      <x:c r="D582" s="40" t="n">
        <x:v>0.5921482008010505</x:v>
      </x:c>
      <x:c r="E582" s="40" t="n">
        <x:v>0.2211470117348254</x:v>
      </x:c>
      <x:c r="F582" s="40" t="n">
        <x:v>0.29219799305158056</x:v>
      </x:c>
      <x:c r="G582" s="40" t="n">
        <x:v>0.18569720418384184</x:v>
      </x:c>
      <x:c r="H582" s="40" t="n">
        <x:v>0.08645035810787081</x:v>
      </x:c>
    </x:row>
    <x:row r="583">
      <x:c r="A583" t="n">
        <x:v>534</x:v>
      </x:c>
      <x:c r="B583" s="40" t="n">
        <x:v>0.07882002782109193</x:v>
      </x:c>
      <x:c r="C583" s="40" t="n">
        <x:v>0.07677454621407952</x:v>
      </x:c>
      <x:c r="D583" s="40" t="n">
        <x:v>0.7732534361285321</x:v>
      </x:c>
      <x:c r="E583" s="40" t="n">
        <x:v>0.2639877866538536</x:v>
      </x:c>
      <x:c r="F583" s="40" t="n">
        <x:v>0.05387597232819364</x:v>
      </x:c>
      <x:c r="G583" s="40" t="n">
        <x:v>0.11317673984787772</x:v>
      </x:c>
      <x:c r="H583" s="40" t="n">
        <x:v>0.04391194782857329</x:v>
      </x:c>
    </x:row>
    <x:row r="584">
      <x:c r="A584" t="n">
        <x:v>535</x:v>
      </x:c>
      <x:c r="B584" s="40" t="n">
        <x:v>0.07991717451727363</x:v>
      </x:c>
      <x:c r="C584" s="40" t="n">
        <x:v>0.11660758777946188</x:v>
      </x:c>
      <x:c r="D584" s="40" t="n">
        <x:v>0.5185196736749312</x:v>
      </x:c>
      <x:c r="E584" s="40" t="n">
        <x:v>0.018084560257141582</x:v>
      </x:c>
      <x:c r="F584" s="40" t="n">
        <x:v>0.3523487519882361</x:v>
      </x:c>
      <x:c r="G584" s="40" t="n">
        <x:v>0.005964329856262347</x:v>
      </x:c>
      <x:c r="H584" s="40" t="n">
        <x:v>0.18190385877932874</x:v>
      </x:c>
    </x:row>
    <x:row r="585">
      <x:c r="A585" t="n">
        <x:v>536</x:v>
      </x:c>
      <x:c r="B585" s="40" t="n">
        <x:v>0.08884168930200184</x:v>
      </x:c>
      <x:c r="C585" s="40" t="n">
        <x:v>0.12329793464021871</x:v>
      </x:c>
      <x:c r="D585" s="40" t="n">
        <x:v>0.5627656566237564</x:v>
      </x:c>
      <x:c r="E585" s="40" t="n">
        <x:v>0.07942113531840636</x:v>
      </x:c>
      <x:c r="F585" s="40" t="n">
        <x:v>0.3570055983481568</x:v>
      </x:c>
      <x:c r="G585" s="40" t="n">
        <x:v>0.02008973516952957</x:v>
      </x:c>
      <x:c r="H585" s="40" t="n">
        <x:v>0.18520623816324341</x:v>
      </x:c>
    </x:row>
    <x:row r="586">
      <x:c r="A586" t="n">
        <x:v>537</x:v>
      </x:c>
      <x:c r="B586" s="40" t="n">
        <x:v>0.07563191827339788</x:v>
      </x:c>
      <x:c r="C586" s="40" t="n">
        <x:v>0.07653407037323473</x:v>
      </x:c>
      <x:c r="D586" s="40" t="n">
        <x:v>0.7340269744649326</x:v>
      </x:c>
      <x:c r="E586" s="40" t="n">
        <x:v>0.07053617376438356</x:v>
      </x:c>
      <x:c r="F586" s="40" t="n">
        <x:v>0.14639359559639004</x:v>
      </x:c>
      <x:c r="G586" s="40" t="n">
        <x:v>0.4653596226387205</x:v>
      </x:c>
      <x:c r="H586" s="40" t="n">
        <x:v>0.11768301474836099</x:v>
      </x:c>
    </x:row>
    <x:row r="587">
      <x:c r="A587" t="n">
        <x:v>538</x:v>
      </x:c>
      <x:c r="B587" s="40" t="n">
        <x:v>0.10550953708041835</x:v>
      </x:c>
      <x:c r="C587" s="40" t="n">
        <x:v>0.12347354517448582</x:v>
      </x:c>
      <x:c r="D587" s="40" t="n">
        <x:v>0.6969565084161402</x:v>
      </x:c>
      <x:c r="E587" s="40" t="n">
        <x:v>0.237092942931865</x:v>
      </x:c>
      <x:c r="F587" s="40" t="n">
        <x:v>0.002464776461263698</x:v>
      </x:c>
      <x:c r="G587" s="40" t="n">
        <x:v>0.004793853991807106</x:v>
      </x:c>
      <x:c r="H587" s="40" t="n">
        <x:v>0.1812153846518778</x:v>
      </x:c>
    </x:row>
    <x:row r="588">
      <x:c r="A588" t="n">
        <x:v>539</x:v>
      </x:c>
      <x:c r="B588" s="40" t="n">
        <x:v>0.09109319611762717</x:v>
      </x:c>
      <x:c r="C588" s="40" t="n">
        <x:v>0.11331531085152705</x:v>
      </x:c>
      <x:c r="D588" s="40" t="n">
        <x:v>0.6322124470685825</x:v>
      </x:c>
      <x:c r="E588" s="40" t="n">
        <x:v>0.0832326471776278</x:v>
      </x:c>
      <x:c r="F588" s="40" t="n">
        <x:v>0.3056272857490297</x:v>
      </x:c>
      <x:c r="G588" s="40" t="n">
        <x:v>0.01690692342148003</x:v>
      </x:c>
      <x:c r="H588" s="40" t="n">
        <x:v>0.027253998720276746</x:v>
      </x:c>
    </x:row>
    <x:row r="589">
      <x:c r="A589" t="n">
        <x:v>540</x:v>
      </x:c>
      <x:c r="B589" s="40" t="n">
        <x:v>0.06373668458655324</x:v>
      </x:c>
      <x:c r="C589" s="40" t="n">
        <x:v>0.0544960857364034</x:v>
      </x:c>
      <x:c r="D589" s="40" t="n">
        <x:v>0.8125875066863038</x:v>
      </x:c>
      <x:c r="E589" s="40" t="n">
        <x:v>0.034610619589807434</x:v>
      </x:c>
      <x:c r="F589" s="40" t="n">
        <x:v>0.10075608490720131</x:v>
      </x:c>
      <x:c r="G589" s="40" t="n">
        <x:v>0.46482296375473386</x:v>
      </x:c>
      <x:c r="H589" s="40" t="n">
        <x:v>0.03698715229836146</x:v>
      </x:c>
    </x:row>
    <x:row r="590">
      <x:c r="A590" t="n">
        <x:v>541</x:v>
      </x:c>
      <x:c r="B590" s="40" t="n">
        <x:v>0.06524002475755857</x:v>
      </x:c>
      <x:c r="C590" s="40" t="n">
        <x:v>0.05566257474901664</x:v>
      </x:c>
      <x:c r="D590" s="40" t="n">
        <x:v>0.8225666672834118</x:v>
      </x:c>
      <x:c r="E590" s="40" t="n">
        <x:v>0.14165019782878316</x:v>
      </x:c>
      <x:c r="F590" s="40" t="n">
        <x:v>0.04817990530037196</x:v>
      </x:c>
      <x:c r="G590" s="40" t="n">
        <x:v>0.3655869844579788</x:v>
      </x:c>
      <x:c r="H590" s="40" t="n">
        <x:v>0.177661747121336</x:v>
      </x:c>
    </x:row>
    <x:row r="591">
      <x:c r="A591" t="n">
        <x:v>542</x:v>
      </x:c>
      <x:c r="B591" s="40" t="n">
        <x:v>0.08554538367951844</x:v>
      </x:c>
      <x:c r="C591" s="40" t="n">
        <x:v>0.12551640209148807</x:v>
      </x:c>
      <x:c r="D591" s="40" t="n">
        <x:v>0.5265569792025955</x:v>
      </x:c>
      <x:c r="E591" s="40" t="n">
        <x:v>0.00435921210621055</x:v>
      </x:c>
      <x:c r="F591" s="40" t="n">
        <x:v>0.39512158766314665</x:v>
      </x:c>
      <x:c r="G591" s="40" t="n">
        <x:v>0.09829078402721776</x:v>
      </x:c>
      <x:c r="H591" s="40" t="n">
        <x:v>0.4427703120660085</x:v>
      </x:c>
    </x:row>
    <x:row r="592">
      <x:c r="A592" t="n">
        <x:v>543</x:v>
      </x:c>
      <x:c r="B592" s="40" t="n">
        <x:v>0.062372537585559475</x:v>
      </x:c>
      <x:c r="C592" s="40" t="n">
        <x:v>0.05427643815258318</x:v>
      </x:c>
      <x:c r="D592" s="40" t="n">
        <x:v>0.7907425927814073</x:v>
      </x:c>
      <x:c r="E592" s="40" t="n">
        <x:v>0.05433297894725069</x:v>
      </x:c>
      <x:c r="F592" s="40" t="n">
        <x:v>0.07957950616384528</x:v>
      </x:c>
      <x:c r="G592" s="40" t="n">
        <x:v>0.3164372201997988</x:v>
      </x:c>
      <x:c r="H592" s="40" t="n">
        <x:v>0.2867877998231208</x:v>
      </x:c>
    </x:row>
    <x:row r="593">
      <x:c r="A593" t="n">
        <x:v>544</x:v>
      </x:c>
      <x:c r="B593" s="40" t="n">
        <x:v>0.09725975078301453</x:v>
      </x:c>
      <x:c r="C593" s="40" t="n">
        <x:v>0.10839641666139246</x:v>
      </x:c>
      <x:c r="D593" s="40" t="n">
        <x:v>0.7177903756008616</x:v>
      </x:c>
      <x:c r="E593" s="40" t="n">
        <x:v>0.0973763147568769</x:v>
      </x:c>
      <x:c r="F593" s="40" t="n">
        <x:v>0.044711264196525005</x:v>
      </x:c>
      <x:c r="G593" s="40" t="n">
        <x:v>0.13869524311089387</x:v>
      </x:c>
      <x:c r="H593" s="40" t="n">
        <x:v>0.06627779596404722</x:v>
      </x:c>
    </x:row>
    <x:row r="594">
      <x:c r="A594" t="n">
        <x:v>545</x:v>
      </x:c>
      <x:c r="B594" s="40" t="n">
        <x:v>0.08583645807720752</x:v>
      </x:c>
      <x:c r="C594" s="40" t="n">
        <x:v>0.09023233665050931</x:v>
      </x:c>
      <x:c r="D594" s="40" t="n">
        <x:v>0.7356853915961034</x:v>
      </x:c>
      <x:c r="E594" s="40" t="n">
        <x:v>0.10709714593215265</x:v>
      </x:c>
      <x:c r="F594" s="40" t="n">
        <x:v>0.1751424449219938</x:v>
      </x:c>
      <x:c r="G594" s="40" t="n">
        <x:v>0.304323605642045</x:v>
      </x:c>
      <x:c r="H594" s="40" t="n">
        <x:v>0.14409296430664267</x:v>
      </x:c>
    </x:row>
    <x:row r="595">
      <x:c r="A595" t="n">
        <x:v>546</x:v>
      </x:c>
      <x:c r="B595" s="40" t="n">
        <x:v>0.09450904934142947</x:v>
      </x:c>
      <x:c r="C595" s="40" t="n">
        <x:v>0.15853009533932957</x:v>
      </x:c>
      <x:c r="D595" s="40" t="n">
        <x:v>0.47344450923926834</x:v>
      </x:c>
      <x:c r="E595" s="40" t="n">
        <x:v>0.6043008499624575</x:v>
      </x:c>
      <x:c r="F595" s="40" t="n">
        <x:v>0.2408678835807223</x:v>
      </x:c>
      <x:c r="G595" s="40" t="n">
        <x:v>0.08581661386649378</x:v>
      </x:c>
      <x:c r="H595" s="40" t="n">
        <x:v>0.024282587458396</x:v>
      </x:c>
    </x:row>
    <x:row r="596">
      <x:c r="A596" t="n">
        <x:v>547</x:v>
      </x:c>
      <x:c r="B596" s="40" t="n">
        <x:v>0.10285778975750987</x:v>
      </x:c>
      <x:c r="C596" s="40" t="n">
        <x:v>0.13284068028270174</x:v>
      </x:c>
      <x:c r="D596" s="40" t="n">
        <x:v>0.6278494165053174</x:v>
      </x:c>
      <x:c r="E596" s="40" t="n">
        <x:v>0.028046146440626984</x:v>
      </x:c>
      <x:c r="F596" s="40" t="n">
        <x:v>0.39667033365376053</x:v>
      </x:c>
      <x:c r="G596" s="40" t="n">
        <x:v>0.13762715195905054</x:v>
      </x:c>
      <x:c r="H596" s="40" t="n">
        <x:v>0.06772696073309276</x:v>
      </x:c>
    </x:row>
    <x:row r="597">
      <x:c r="A597" t="n">
        <x:v>548</x:v>
      </x:c>
      <x:c r="B597" s="40" t="n">
        <x:v>0.06092764130313241</x:v>
      </x:c>
      <x:c r="C597" s="40" t="n">
        <x:v>0.046630286336297094</x:v>
      </x:c>
      <x:c r="D597" s="40" t="n">
        <x:v>0.8894175525789767</x:v>
      </x:c>
      <x:c r="E597" s="40" t="n">
        <x:v>0.1055585317321986</x:v>
      </x:c>
      <x:c r="F597" s="40" t="n">
        <x:v>0.01783578286930739</x:v>
      </x:c>
      <x:c r="G597" s="40" t="n">
        <x:v>0.37697640149581246</x:v>
      </x:c>
      <x:c r="H597" s="40" t="n">
        <x:v>0.07634132378054463</x:v>
      </x:c>
    </x:row>
    <x:row r="598">
      <x:c r="A598" t="n">
        <x:v>549</x:v>
      </x:c>
      <x:c r="B598" s="40" t="n">
        <x:v>0.08708346633528843</x:v>
      </x:c>
      <x:c r="C598" s="40" t="n">
        <x:v>0.1362136007558911</x:v>
      </x:c>
      <x:c r="D598" s="40" t="n">
        <x:v>0.4964968241507805</x:v>
      </x:c>
      <x:c r="E598" s="40" t="n">
        <x:v>0.6205529653470746</x:v>
      </x:c>
      <x:c r="F598" s="40" t="n">
        <x:v>0.11347107126089981</x:v>
      </x:c>
      <x:c r="G598" s="40" t="n">
        <x:v>0.06734267860626805</x:v>
      </x:c>
      <x:c r="H598" s="40" t="n">
        <x:v>0.02921570019243573</x:v>
      </x:c>
    </x:row>
    <x:row r="599">
      <x:c r="A599" t="n">
        <x:v>550</x:v>
      </x:c>
      <x:c r="B599" s="40" t="n">
        <x:v>0.05473906910331099</x:v>
      </x:c>
      <x:c r="C599" s="40" t="n">
        <x:v>0.05798816152490223</x:v>
      </x:c>
      <x:c r="D599" s="40" t="n">
        <x:v>0.6084901128364292</x:v>
      </x:c>
      <x:c r="E599" s="40" t="n">
        <x:v>0.08433065771902842</x:v>
      </x:c>
      <x:c r="F599" s="40" t="n">
        <x:v>0.010326921540353893</x:v>
      </x:c>
      <x:c r="G599" s="40" t="n">
        <x:v>0.07019023293201677</x:v>
      </x:c>
      <x:c r="H599" s="40" t="n">
        <x:v>0.05848707049805338</x:v>
      </x:c>
    </x:row>
    <x:row r="600">
      <x:c r="A600" t="n">
        <x:v>551</x:v>
      </x:c>
      <x:c r="B600" s="40" t="n">
        <x:v>0.08704943623971045</x:v>
      </x:c>
      <x:c r="C600" s="40" t="n">
        <x:v>0.1234533499816931</x:v>
      </x:c>
      <x:c r="D600" s="40" t="n">
        <x:v>0.5475395369658907</x:v>
      </x:c>
      <x:c r="E600" s="40" t="n">
        <x:v>0.6270750879629493</x:v>
      </x:c>
      <x:c r="F600" s="40" t="n">
        <x:v>0.03457111888858051</x:v>
      </x:c>
      <x:c r="G600" s="40" t="n">
        <x:v>0.06811752797367009</x:v>
      </x:c>
      <x:c r="H600" s="40" t="n">
        <x:v>0.008192041134362485</x:v>
      </x:c>
    </x:row>
    <x:row r="601">
      <x:c r="A601" t="n">
        <x:v>552</x:v>
      </x:c>
      <x:c r="B601" s="40" t="n">
        <x:v>0.09489260841053909</x:v>
      </x:c>
      <x:c r="C601" s="40" t="n">
        <x:v>0.11070747074470233</x:v>
      </x:c>
      <x:c r="D601" s="40" t="n">
        <x:v>0.6814243135466348</x:v>
      </x:c>
      <x:c r="E601" s="40" t="n">
        <x:v>0.16498490855680265</x:v>
      </x:c>
      <x:c r="F601" s="40" t="n">
        <x:v>0.22274439567268767</x:v>
      </x:c>
      <x:c r="G601" s="40" t="n">
        <x:v>0.028120416453096042</x:v>
      </x:c>
      <x:c r="H601" s="40" t="n">
        <x:v>0.19735764332752034</x:v>
      </x:c>
    </x:row>
    <x:row r="602">
      <x:c r="A602" t="n">
        <x:v>553</x:v>
      </x:c>
      <x:c r="B602" s="40" t="n">
        <x:v>0.06735365875148784</x:v>
      </x:c>
      <x:c r="C602" s="40" t="n">
        <x:v>0.07407783248432125</x:v>
      </x:c>
      <x:c r="D602" s="40" t="n">
        <x:v>0.6466146617853566</x:v>
      </x:c>
      <x:c r="E602" s="40" t="n">
        <x:v>0.12116751009419725</x:v>
      </x:c>
      <x:c r="F602" s="40" t="n">
        <x:v>0.006860259618418948</x:v>
      </x:c>
      <x:c r="G602" s="40" t="n">
        <x:v>0.6230224742623865</x:v>
      </x:c>
      <x:c r="H602" s="40" t="n">
        <x:v>0.0035344576070769356</x:v>
      </x:c>
    </x:row>
    <x:row r="603">
      <x:c r="A603" t="n">
        <x:v>554</x:v>
      </x:c>
      <x:c r="B603" s="40" t="n">
        <x:v>0.07548390391023962</x:v>
      </x:c>
      <x:c r="C603" s="40" t="n">
        <x:v>0.0914566120093784</x:v>
      </x:c>
      <x:c r="D603" s="40" t="n">
        <x:v>0.6126408635238738</x:v>
      </x:c>
      <x:c r="E603" s="40" t="n">
        <x:v>0.11704963255944364</x:v>
      </x:c>
      <x:c r="F603" s="40" t="n">
        <x:v>0.2097088328894604</x:v>
      </x:c>
      <x:c r="G603" s="40" t="n">
        <x:v>0.058068808862897156</x:v>
      </x:c>
      <x:c r="H603" s="40" t="n">
        <x:v>0.22480182992792028</x:v>
      </x:c>
    </x:row>
    <x:row r="604">
      <x:c r="A604" t="n">
        <x:v>555</x:v>
      </x:c>
      <x:c r="B604" s="40" t="n">
        <x:v>0.08397070596773168</x:v>
      </x:c>
      <x:c r="C604" s="40" t="n">
        <x:v>0.08255014010404667</x:v>
      </x:c>
      <x:c r="D604" s="40" t="n">
        <x:v>0.7815475507681526</x:v>
      </x:c>
      <x:c r="E604" s="40" t="n">
        <x:v>0.010764202965872638</x:v>
      </x:c>
      <x:c r="F604" s="40" t="n">
        <x:v>0.1593946593757144</x:v>
      </x:c>
      <x:c r="G604" s="40" t="n">
        <x:v>0.04767072325759391</x:v>
      </x:c>
      <x:c r="H604" s="40" t="n">
        <x:v>0.28969540598944943</x:v>
      </x:c>
    </x:row>
    <x:row r="605">
      <x:c r="A605" t="n">
        <x:v>556</x:v>
      </x:c>
      <x:c r="B605" s="40" t="n">
        <x:v>0.06409674380465966</x:v>
      </x:c>
      <x:c r="C605" s="40" t="n">
        <x:v>0.06392734968953694</x:v>
      </x:c>
      <x:c r="D605" s="40" t="n">
        <x:v>0.6983380019290907</x:v>
      </x:c>
      <x:c r="E605" s="40" t="n">
        <x:v>0.1651841359184295</x:v>
      </x:c>
      <x:c r="F605" s="40" t="n">
        <x:v>0.016161512452156388</x:v>
      </x:c>
      <x:c r="G605" s="40" t="n">
        <x:v>0.597732302143295</x:v>
      </x:c>
      <x:c r="H605" s="40" t="n">
        <x:v>0.03511975838909769</x:v>
      </x:c>
    </x:row>
    <x:row r="606">
      <x:c r="A606" t="n">
        <x:v>557</x:v>
      </x:c>
      <x:c r="B606" s="40" t="n">
        <x:v>0.06844923550306185</x:v>
      </x:c>
      <x:c r="C606" s="40" t="n">
        <x:v>0.06823627235218774</x:v>
      </x:c>
      <x:c r="D606" s="40" t="n">
        <x:v>0.7180255846382683</x:v>
      </x:c>
      <x:c r="E606" s="40" t="n">
        <x:v>0.280735187037271</x:v>
      </x:c>
      <x:c r="F606" s="40" t="n">
        <x:v>0.017495909691765864</x:v>
      </x:c>
      <x:c r="G606" s="40" t="n">
        <x:v>0.2381042010269945</x:v>
      </x:c>
      <x:c r="H606" s="40" t="n">
        <x:v>0.29633488661863927</x:v>
      </x:c>
    </x:row>
    <x:row r="607">
      <x:c r="A607" t="n">
        <x:v>558</x:v>
      </x:c>
      <x:c r="B607" s="40" t="n">
        <x:v>0.09151961501035909</x:v>
      </x:c>
      <x:c r="C607" s="40" t="n">
        <x:v>0.14801207739282987</x:v>
      </x:c>
      <x:c r="D607" s="40" t="n">
        <x:v>0.48689113838492754</x:v>
      </x:c>
      <x:c r="E607" s="40" t="n">
        <x:v>0.34929998477550717</x:v>
      </x:c>
      <x:c r="F607" s="40" t="n">
        <x:v>0.3442816963960148</x:v>
      </x:c>
      <x:c r="G607" s="40" t="n">
        <x:v>0.07394787492249576</x:v>
      </x:c>
      <x:c r="H607" s="40" t="n">
        <x:v>0.13265204297900388</x:v>
      </x:c>
    </x:row>
    <x:row r="608">
      <x:c r="A608" t="n">
        <x:v>559</x:v>
      </x:c>
      <x:c r="B608" s="40" t="n">
        <x:v>0.06354645578615212</x:v>
      </x:c>
      <x:c r="C608" s="40" t="n">
        <x:v>0.059103597762307995</x:v>
      </x:c>
      <x:c r="D608" s="40" t="n">
        <x:v>0.7460224301341101</x:v>
      </x:c>
      <x:c r="E608" s="40" t="n">
        <x:v>0.045745525706696384</x:v>
      </x:c>
      <x:c r="F608" s="40" t="n">
        <x:v>0.10215772504608339</x:v>
      </x:c>
      <x:c r="G608" s="40" t="n">
        <x:v>0.5182637822940819</x:v>
      </x:c>
      <x:c r="H608" s="40" t="n">
        <x:v>0.10388434796142058</x:v>
      </x:c>
    </x:row>
    <x:row r="609">
      <x:c r="A609" t="n">
        <x:v>560</x:v>
      </x:c>
      <x:c r="B609" s="40" t="n">
        <x:v>0.07923911022678554</x:v>
      </x:c>
      <x:c r="C609" s="40" t="n">
        <x:v>0.07298813726532444</x:v>
      </x:c>
      <x:c r="D609" s="40" t="n">
        <x:v>0.8191093280762826</x:v>
      </x:c>
      <x:c r="E609" s="40" t="n">
        <x:v>0.016404647634327356</x:v>
      </x:c>
      <x:c r="F609" s="40" t="n">
        <x:v>0.09734660656319268</x:v>
      </x:c>
      <x:c r="G609" s="40" t="n">
        <x:v>0.08639611126392725</x:v>
      </x:c>
      <x:c r="H609" s="40" t="n">
        <x:v>0.38009882995259203</x:v>
      </x:c>
    </x:row>
    <x:row r="610">
      <x:c r="A610" t="n">
        <x:v>561</x:v>
      </x:c>
      <x:c r="B610" s="40" t="n">
        <x:v>0.07500335280715092</x:v>
      </x:c>
      <x:c r="C610" s="40" t="n">
        <x:v>0.06785553246125153</x:v>
      </x:c>
      <x:c r="D610" s="40" t="n">
        <x:v>0.8186437367509563</x:v>
      </x:c>
      <x:c r="E610" s="40" t="n">
        <x:v>0.2364730627034855</x:v>
      </x:c>
      <x:c r="F610" s="40" t="n">
        <x:v>0.033032506243639</x:v>
      </x:c>
      <x:c r="G610" s="40" t="n">
        <x:v>0.2155528965852379</x:v>
      </x:c>
      <x:c r="H610" s="40" t="n">
        <x:v>0.1258810659918051</x:v>
      </x:c>
    </x:row>
    <x:row r="611">
      <x:c r="A611" t="n">
        <x:v>562</x:v>
      </x:c>
      <x:c r="B611" s="40" t="n">
        <x:v>0.06722343559915758</x:v>
      </x:c>
      <x:c r="C611" s="40" t="n">
        <x:v>0.0638783085955034</x:v>
      </x:c>
      <x:c r="D611" s="40" t="n">
        <x:v>0.7478217644709847</x:v>
      </x:c>
      <x:c r="E611" s="40" t="n">
        <x:v>0.1364203778149076</x:v>
      </x:c>
      <x:c r="F611" s="40" t="n">
        <x:v>0.024162267910184523</x:v>
      </x:c>
      <x:c r="G611" s="40" t="n">
        <x:v>0.09794932434401557</x:v>
      </x:c>
      <x:c r="H611" s="40" t="n">
        <x:v>0.5598786718251217</x:v>
      </x:c>
    </x:row>
    <x:row r="612">
      <x:c r="A612" t="n">
        <x:v>563</x:v>
      </x:c>
      <x:c r="B612" s="40" t="n">
        <x:v>0.09774177571716577</x:v>
      </x:c>
      <x:c r="C612" s="40" t="n">
        <x:v>0.16326125507877154</x:v>
      </x:c>
      <x:c r="D612" s="40" t="n">
        <x:v>0.4795254668693234</x:v>
      </x:c>
      <x:c r="E612" s="40" t="n">
        <x:v>0.4629355373233946</x:v>
      </x:c>
      <x:c r="F612" s="40" t="n">
        <x:v>0.3553368418402266</x:v>
      </x:c>
      <x:c r="G612" s="40" t="n">
        <x:v>0.0941383426662226</x:v>
      </x:c>
      <x:c r="H612" s="40" t="n">
        <x:v>0.013667036785102773</x:v>
      </x:c>
    </x:row>
    <x:row r="613">
      <x:c r="A613" t="n">
        <x:v>564</x:v>
      </x:c>
      <x:c r="B613" s="40" t="n">
        <x:v>0.09525391230657798</x:v>
      </x:c>
      <x:c r="C613" s="40" t="n">
        <x:v>0.13404754836489804</x:v>
      </x:c>
      <x:c r="D613" s="40" t="n">
        <x:v>0.5654714843899449</x:v>
      </x:c>
      <x:c r="E613" s="40" t="n">
        <x:v>0.3737587386991015</x:v>
      </x:c>
      <x:c r="F613" s="40" t="n">
        <x:v>0.27864373764349887</x:v>
      </x:c>
      <x:c r="G613" s="40" t="n">
        <x:v>0.13649726056335387</x:v>
      </x:c>
      <x:c r="H613" s="40" t="n">
        <x:v>0.015295911103041968</x:v>
      </x:c>
    </x:row>
    <x:row r="614">
      <x:c r="A614" t="n">
        <x:v>565</x:v>
      </x:c>
      <x:c r="B614" s="40" t="n">
        <x:v>0.11239327308864616</x:v>
      </x:c>
      <x:c r="C614" s="40" t="n">
        <x:v>0.13858679061925822</x:v>
      </x:c>
      <x:c r="D614" s="40" t="n">
        <x:v>0.6706225500966685</x:v>
      </x:c>
      <x:c r="E614" s="40" t="n">
        <x:v>0.0010569172599718955</x:v>
      </x:c>
      <x:c r="F614" s="40" t="n">
        <x:v>0.3158296233478155</x:v>
      </x:c>
      <x:c r="G614" s="40" t="n">
        <x:v>0.03758833095222562</x:v>
      </x:c>
      <x:c r="H614" s="40" t="n">
        <x:v>0.010474117435238562</x:v>
      </x:c>
    </x:row>
    <x:row r="615">
      <x:c r="A615" t="n">
        <x:v>566</x:v>
      </x:c>
      <x:c r="B615" s="40" t="n">
        <x:v>0.08171763968258727</x:v>
      </x:c>
      <x:c r="C615" s="40" t="n">
        <x:v>0.0885265374176778</x:v>
      </x:c>
      <x:c r="D615" s="40" t="n">
        <x:v>0.7033347891488605</x:v>
      </x:c>
      <x:c r="E615" s="40" t="n">
        <x:v>0.07943195694912814</x:v>
      </x:c>
      <x:c r="F615" s="40" t="n">
        <x:v>0.17949165845231588</x:v>
      </x:c>
      <x:c r="G615" s="40" t="n">
        <x:v>0.06410978449132322</x:v>
      </x:c>
      <x:c r="H615" s="40" t="n">
        <x:v>0.41577355834191554</x:v>
      </x:c>
    </x:row>
    <x:row r="616">
      <x:c r="A616" t="n">
        <x:v>567</x:v>
      </x:c>
      <x:c r="B616" s="40" t="n">
        <x:v>0.06580226522229995</x:v>
      </x:c>
      <x:c r="C616" s="40" t="n">
        <x:v>0.06877511573584176</x:v>
      </x:c>
      <x:c r="D616" s="40" t="n">
        <x:v>0.6739126291909616</x:v>
      </x:c>
      <x:c r="E616" s="40" t="n">
        <x:v>0.02520072405313333</x:v>
      </x:c>
      <x:c r="F616" s="40" t="n">
        <x:v>0.15424842714835282</x:v>
      </x:c>
      <x:c r="G616" s="40" t="n">
        <x:v>0.634325825428411</x:v>
      </x:c>
      <x:c r="H616" s="40" t="n">
        <x:v>0.027108542671553156</x:v>
      </x:c>
    </x:row>
    <x:row r="617">
      <x:c r="A617" t="n">
        <x:v>568</x:v>
      </x:c>
      <x:c r="B617" s="40" t="n">
        <x:v>0.08042167736162112</x:v>
      </x:c>
      <x:c r="C617" s="40" t="n">
        <x:v>0.07467973986540602</x:v>
      </x:c>
      <x:c r="D617" s="40" t="n">
        <x:v>0.8163905139152361</x:v>
      </x:c>
      <x:c r="E617" s="40" t="n">
        <x:v>0.2502931255273897</x:v>
      </x:c>
      <x:c r="F617" s="40" t="n">
        <x:v>0.01831845217435658</x:v>
      </x:c>
      <x:c r="G617" s="40" t="n">
        <x:v>0.14209681911714994</x:v>
      </x:c>
      <x:c r="H617" s="40" t="n">
        <x:v>0.1003358836742446</x:v>
      </x:c>
    </x:row>
    <x:row r="618">
      <x:c r="A618" t="n">
        <x:v>569</x:v>
      </x:c>
      <x:c r="B618" s="40" t="n">
        <x:v>0.08610753645945238</x:v>
      </x:c>
      <x:c r="C618" s="40" t="n">
        <x:v>0.08213735671991503</x:v>
      </x:c>
      <x:c r="D618" s="40" t="n">
        <x:v>0.8114905685715276</x:v>
      </x:c>
      <x:c r="E618" s="40" t="n">
        <x:v>0.06172175665018945</x:v>
      </x:c>
      <x:c r="F618" s="40" t="n">
        <x:v>0.0026509983176134116</x:v>
      </x:c>
      <x:c r="G618" s="40" t="n">
        <x:v>0.03837355358651037</x:v>
      </x:c>
      <x:c r="H618" s="40" t="n">
        <x:v>0.09052276956318472</x:v>
      </x:c>
    </x:row>
    <x:row r="619">
      <x:c r="A619" t="n">
        <x:v>570</x:v>
      </x:c>
      <x:c r="B619" s="40" t="n">
        <x:v>0.06306797632514283</x:v>
      </x:c>
      <x:c r="C619" s="40" t="n">
        <x:v>0.06978366382574483</x:v>
      </x:c>
      <x:c r="D619" s="40" t="n">
        <x:v>0.6249905462144336</x:v>
      </x:c>
      <x:c r="E619" s="40" t="n">
        <x:v>0.0581969156112851</x:v>
      </x:c>
      <x:c r="F619" s="40" t="n">
        <x:v>0.12355454420427577</x:v>
      </x:c>
      <x:c r="G619" s="40" t="n">
        <x:v>0.06037910265571114</x:v>
      </x:c>
      <x:c r="H619" s="40" t="n">
        <x:v>0.12950170650306206</x:v>
      </x:c>
    </x:row>
    <x:row r="620">
      <x:c r="A620" t="n">
        <x:v>571</x:v>
      </x:c>
      <x:c r="B620" s="40" t="n">
        <x:v>0.06822862025900747</x:v>
      </x:c>
      <x:c r="C620" s="40" t="n">
        <x:v>0.06364995223602557</x:v>
      </x:c>
      <x:c r="D620" s="40" t="n">
        <x:v>0.7662971045806226</x:v>
      </x:c>
      <x:c r="E620" s="40" t="n">
        <x:v>0.14736089871967686</x:v>
      </x:c>
      <x:c r="F620" s="40" t="n">
        <x:v>0.10105425443045303</x:v>
      </x:c>
      <x:c r="G620" s="40" t="n">
        <x:v>0.2053679913774529</x:v>
      </x:c>
      <x:c r="H620" s="40" t="n">
        <x:v>0.06287245540066025</x:v>
      </x:c>
    </x:row>
    <x:row r="621">
      <x:c r="A621" t="n">
        <x:v>572</x:v>
      </x:c>
      <x:c r="B621" s="40" t="n">
        <x:v>0.07710146560097633</x:v>
      </x:c>
      <x:c r="C621" s="40" t="n">
        <x:v>0.09335677413687564</x:v>
      </x:c>
      <x:c r="D621" s="40" t="n">
        <x:v>0.6174979799817177</x:v>
      </x:c>
      <x:c r="E621" s="40" t="n">
        <x:v>0.2579724882078577</x:v>
      </x:c>
      <x:c r="F621" s="40" t="n">
        <x:v>0.19819709448974934</x:v>
      </x:c>
      <x:c r="G621" s="40" t="n">
        <x:v>0.2549762663723092</x:v>
      </x:c>
      <x:c r="H621" s="40" t="n">
        <x:v>0.02031294522402261</x:v>
      </x:c>
    </x:row>
    <x:row r="622">
      <x:c r="A622" t="n">
        <x:v>573</x:v>
      </x:c>
      <x:c r="B622" s="40" t="n">
        <x:v>0.07020815555204811</x:v>
      </x:c>
      <x:c r="C622" s="40" t="n">
        <x:v>0.07683250009509536</x:v>
      </x:c>
      <x:c r="D622" s="40" t="n">
        <x:v>0.6605838588537858</x:v>
      </x:c>
      <x:c r="E622" s="40" t="n">
        <x:v>0.28401335242096926</x:v>
      </x:c>
      <x:c r="F622" s="40" t="n">
        <x:v>0.022281970364686144</x:v>
      </x:c>
      <x:c r="G622" s="40" t="n">
        <x:v>0.012518079401818316</x:v>
      </x:c>
      <x:c r="H622" s="40" t="n">
        <x:v>0.2966395451759059</x:v>
      </x:c>
    </x:row>
    <x:row r="623">
      <x:c r="A623" t="n">
        <x:v>574</x:v>
      </x:c>
      <x:c r="B623" s="40" t="n">
        <x:v>0.07616168474687679</x:v>
      </x:c>
      <x:c r="C623" s="40" t="n">
        <x:v>0.08253988764690882</x:v>
      </x:c>
      <x:c r="D623" s="40" t="n">
        <x:v>0.6870355680106669</x:v>
      </x:c>
      <x:c r="E623" s="40" t="n">
        <x:v>0.27957663539856964</x:v>
      </x:c>
      <x:c r="F623" s="40" t="n">
        <x:v>0.04879668603398356</x:v>
      </x:c>
      <x:c r="G623" s="40" t="n">
        <x:v>0.08322872892494122</x:v>
      </x:c>
      <x:c r="H623" s="40" t="n">
        <x:v>0.42794223393421094</x:v>
      </x:c>
    </x:row>
    <x:row r="624">
      <x:c r="A624" t="n">
        <x:v>575</x:v>
      </x:c>
      <x:c r="B624" s="40" t="n">
        <x:v>0.08408145756421644</x:v>
      </x:c>
      <x:c r="C624" s="40" t="n">
        <x:v>0.11506711459073327</x:v>
      </x:c>
      <x:c r="D624" s="40" t="n">
        <x:v>0.5616514469858355</x:v>
      </x:c>
      <x:c r="E624" s="40" t="n">
        <x:v>0.20379210511242013</x:v>
      </x:c>
      <x:c r="F624" s="40" t="n">
        <x:v>0.3258329991465227</x:v>
      </x:c>
      <x:c r="G624" s="40" t="n">
        <x:v>0.31409480517422755</x:v>
      </x:c>
      <x:c r="H624" s="40" t="n">
        <x:v>0.09751663610445126</x:v>
      </x:c>
    </x:row>
    <x:row r="625">
      <x:c r="A625" t="n">
        <x:v>576</x:v>
      </x:c>
      <x:c r="B625" s="40" t="n">
        <x:v>0.09100197832861454</x:v>
      </x:c>
      <x:c r="C625" s="40" t="n">
        <x:v>0.10159533362907719</x:v>
      </x:c>
      <x:c r="D625" s="40" t="n">
        <x:v>0.7042462445764426</x:v>
      </x:c>
      <x:c r="E625" s="40" t="n">
        <x:v>0.11023753290297307</x:v>
      </x:c>
      <x:c r="F625" s="40" t="n">
        <x:v>0.23670399769824532</x:v>
      </x:c>
      <x:c r="G625" s="40" t="n">
        <x:v>0.1863573787595882</x:v>
      </x:c>
      <x:c r="H625" s="40" t="n">
        <x:v>0.12003740235376681</x:v>
      </x:c>
    </x:row>
    <x:row r="626">
      <x:c r="A626" t="n">
        <x:v>577</x:v>
      </x:c>
      <x:c r="B626" s="40" t="n">
        <x:v>0.08320371421660386</x:v>
      </x:c>
      <x:c r="C626" s="40" t="n">
        <x:v>0.08966440244475905</x:v>
      </x:c>
      <x:c r="D626" s="40" t="n">
        <x:v>0.7109830247520255</x:v>
      </x:c>
      <x:c r="E626" s="40" t="n">
        <x:v>0.052239846375419806</x:v>
      </x:c>
      <x:c r="F626" s="40" t="n">
        <x:v>0.18541046222555896</x:v>
      </x:c>
      <x:c r="G626" s="40" t="n">
        <x:v>0.14971031640577703</x:v>
      </x:c>
      <x:c r="H626" s="40" t="n">
        <x:v>0.4174795179895529</x:v>
      </x:c>
    </x:row>
    <x:row r="627">
      <x:c r="A627" t="n">
        <x:v>578</x:v>
      </x:c>
      <x:c r="B627" s="40" t="n">
        <x:v>0.0862372771592825</x:v>
      </x:c>
      <x:c r="C627" s="40" t="n">
        <x:v>0.0978855722870737</x:v>
      </x:c>
      <x:c r="D627" s="40" t="n">
        <x:v>0.6822602089874633</x:v>
      </x:c>
      <x:c r="E627" s="40" t="n">
        <x:v>0.011355864816884411</x:v>
      </x:c>
      <x:c r="F627" s="40" t="n">
        <x:v>0.2907577148950317</x:v>
      </x:c>
      <x:c r="G627" s="40" t="n">
        <x:v>0.1371895228352204</x:v>
      </x:c>
      <x:c r="H627" s="40" t="n">
        <x:v>0.014650225622202626</x:v>
      </x:c>
    </x:row>
    <x:row r="628">
      <x:c r="A628" t="n">
        <x:v>579</x:v>
      </x:c>
      <x:c r="B628" s="40" t="n">
        <x:v>0.0987202876432007</x:v>
      </x:c>
      <x:c r="C628" s="40" t="n">
        <x:v>0.11194467929020537</x:v>
      </x:c>
      <x:c r="D628" s="40" t="n">
        <x:v>0.7080858330378011</x:v>
      </x:c>
      <x:c r="E628" s="40" t="n">
        <x:v>0.004065669278096094</x:v>
      </x:c>
      <x:c r="F628" s="40" t="n">
        <x:v>0.11495313797377578</x:v>
      </x:c>
      <x:c r="G628" s="40" t="n">
        <x:v>0.09715710180850644</x:v>
      </x:c>
      <x:c r="H628" s="40" t="n">
        <x:v>0.253548325661798</x:v>
      </x:c>
    </x:row>
    <x:row r="629">
      <x:c r="A629" t="n">
        <x:v>580</x:v>
      </x:c>
      <x:c r="B629" s="40" t="n">
        <x:v>0.06150854018513342</x:v>
      </x:c>
      <x:c r="C629" s="40" t="n">
        <x:v>0.06070907535303508</x:v>
      </x:c>
      <x:c r="D629" s="40" t="n">
        <x:v>0.6927249968267684</x:v>
      </x:c>
      <x:c r="E629" s="40" t="n">
        <x:v>0.15307843185644646</x:v>
      </x:c>
      <x:c r="F629" s="40" t="n">
        <x:v>0.005116880110126521</x:v>
      </x:c>
      <x:c r="G629" s="40" t="n">
        <x:v>0.0008304808377126912</x:v>
      </x:c>
      <x:c r="H629" s="40" t="n">
        <x:v>0.2637997381147574</x:v>
      </x:c>
    </x:row>
    <x:row r="630">
      <x:c r="A630" t="n">
        <x:v>581</x:v>
      </x:c>
      <x:c r="B630" s="40" t="n">
        <x:v>0.0828431513924589</x:v>
      </x:c>
      <x:c r="C630" s="40" t="n">
        <x:v>0.08642465950955977</x:v>
      </x:c>
      <x:c r="D630" s="40" t="n">
        <x:v>0.7334631758844362</x:v>
      </x:c>
      <x:c r="E630" s="40" t="n">
        <x:v>0.1213026607598679</x:v>
      </x:c>
      <x:c r="F630" s="40" t="n">
        <x:v>0.04453775668995669</x:v>
      </x:c>
      <x:c r="G630" s="40" t="n">
        <x:v>0.37527441859695443</x:v>
      </x:c>
      <x:c r="H630" s="40" t="n">
        <x:v>0.07443894246927274</x:v>
      </x:c>
    </x:row>
    <x:row r="631">
      <x:c r="A631" t="n">
        <x:v>582</x:v>
      </x:c>
      <x:c r="B631" s="40" t="n">
        <x:v>0.07551910372170115</x:v>
      </x:c>
      <x:c r="C631" s="40" t="n">
        <x:v>0.06926974756282496</x:v>
      </x:c>
      <x:c r="D631" s="40" t="n">
        <x:v>0.8093758031528264</x:v>
      </x:c>
      <x:c r="E631" s="40" t="n">
        <x:v>0.06125714118330244</x:v>
      </x:c>
      <x:c r="F631" s="40" t="n">
        <x:v>0.004655443260791264</x:v>
      </x:c>
      <x:c r="G631" s="40" t="n">
        <x:v>0.0704532555583627</x:v>
      </x:c>
      <x:c r="H631" s="40" t="n">
        <x:v>0.5592028293182816</x:v>
      </x:c>
    </x:row>
    <x:row r="632">
      <x:c r="A632" t="n">
        <x:v>583</x:v>
      </x:c>
      <x:c r="B632" s="40" t="n">
        <x:v>0.10103573137730008</x:v>
      </x:c>
      <x:c r="C632" s="40" t="n">
        <x:v>0.1344945092422124</x:v>
      </x:c>
      <x:c r="D632" s="40" t="n">
        <x:v>0.6065815302283631</x:v>
      </x:c>
      <x:c r="E632" s="40" t="n">
        <x:v>0.09848740605931204</x:v>
      </x:c>
      <x:c r="F632" s="40" t="n">
        <x:v>0.38326819512539706</x:v>
      </x:c>
      <x:c r="G632" s="40" t="n">
        <x:v>0.05916132784328094</x:v>
      </x:c>
      <x:c r="H632" s="40" t="n">
        <x:v>0.06962813470687455</x:v>
      </x:c>
    </x:row>
    <x:row r="633">
      <x:c r="A633" t="n">
        <x:v>584</x:v>
      </x:c>
      <x:c r="B633" s="40" t="n">
        <x:v>0.0856799071352588</x:v>
      </x:c>
      <x:c r="C633" s="40" t="n">
        <x:v>0.08605240582838403</x:v>
      </x:c>
      <x:c r="D633" s="40" t="n">
        <x:v>0.7696015043843</x:v>
      </x:c>
      <x:c r="E633" s="40" t="n">
        <x:v>0.13304657191144523</x:v>
      </x:c>
      <x:c r="F633" s="40" t="n">
        <x:v>0.07693465184084705</x:v>
      </x:c>
      <x:c r="G633" s="40" t="n">
        <x:v>0.27911323211685596</x:v>
      </x:c>
      <x:c r="H633" s="40" t="n">
        <x:v>0.0997732868035563</x:v>
      </x:c>
    </x:row>
    <x:row r="634">
      <x:c r="A634" t="n">
        <x:v>585</x:v>
      </x:c>
      <x:c r="B634" s="40" t="n">
        <x:v>0.07960308963320412</x:v>
      </x:c>
      <x:c r="C634" s="40" t="n">
        <x:v>0.0737745724774797</x:v>
      </x:c>
      <x:c r="D634" s="40" t="n">
        <x:v>0.8153113120068437</x:v>
      </x:c>
      <x:c r="E634" s="40" t="n">
        <x:v>0.1651820442786738</x:v>
      </x:c>
      <x:c r="F634" s="40" t="n">
        <x:v>0.07302118435693275</x:v>
      </x:c>
      <x:c r="G634" s="40" t="n">
        <x:v>0.08422814636251308</x:v>
      </x:c>
      <x:c r="H634" s="40" t="n">
        <x:v>0.18847308001019353</x:v>
      </x:c>
    </x:row>
    <x:row r="635">
      <x:c r="A635" t="n">
        <x:v>586</x:v>
      </x:c>
      <x:c r="B635" s="40" t="n">
        <x:v>0.08147637626368506</x:v>
      </x:c>
      <x:c r="C635" s="40" t="n">
        <x:v>0.09478421643091195</x:v>
      </x:c>
      <x:c r="D635" s="40" t="n">
        <x:v>0.6543550439650152</x:v>
      </x:c>
      <x:c r="E635" s="40" t="n">
        <x:v>0.34457815411727427</x:v>
      </x:c>
      <x:c r="F635" s="40" t="n">
        <x:v>0.0958988019186174</x:v>
      </x:c>
      <x:c r="G635" s="40" t="n">
        <x:v>0.1903002562808527</x:v>
      </x:c>
      <x:c r="H635" s="40" t="n">
        <x:v>0.28090625736642333</x:v>
      </x:c>
    </x:row>
    <x:row r="636">
      <x:c r="A636" t="n">
        <x:v>587</x:v>
      </x:c>
      <x:c r="B636" s="40" t="n">
        <x:v>0.07262443272147664</x:v>
      </x:c>
      <x:c r="C636" s="40" t="n">
        <x:v>0.06536994172054747</x:v>
      </x:c>
      <x:c r="D636" s="40" t="n">
        <x:v>0.8133797456165942</x:v>
      </x:c>
      <x:c r="E636" s="40" t="n">
        <x:v>0.04080028829460669</x:v>
      </x:c>
      <x:c r="F636" s="40" t="n">
        <x:v>0.09980808955752961</x:v>
      </x:c>
      <x:c r="G636" s="40" t="n">
        <x:v>0.3511044818472236</x:v>
      </x:c>
      <x:c r="H636" s="40" t="n">
        <x:v>0.1576309715748314</x:v>
      </x:c>
    </x:row>
    <x:row r="637">
      <x:c r="A637" t="n">
        <x:v>588</x:v>
      </x:c>
      <x:c r="B637" s="40" t="n">
        <x:v>0.08613632142935909</x:v>
      </x:c>
      <x:c r="C637" s="40" t="n">
        <x:v>0.1241840859220138</x:v>
      </x:c>
      <x:c r="D637" s="40" t="n">
        <x:v>0.5369647389230596</x:v>
      </x:c>
      <x:c r="E637" s="40" t="n">
        <x:v>0.5984567159409819</x:v>
      </x:c>
      <x:c r="F637" s="40" t="n">
        <x:v>0.06665154614887527</x:v>
      </x:c>
      <x:c r="G637" s="40" t="n">
        <x:v>0.09458272318624714</x:v>
      </x:c>
      <x:c r="H637" s="40" t="n">
        <x:v>0.11967609233473733</x:v>
      </x:c>
    </x:row>
    <x:row r="638">
      <x:c r="A638" t="n">
        <x:v>589</x:v>
      </x:c>
      <x:c r="B638" s="40" t="n">
        <x:v>0.062011833448673996</x:v>
      </x:c>
      <x:c r="C638" s="40" t="n">
        <x:v>0.04614065424412978</x:v>
      </x:c>
      <x:c r="D638" s="40" t="n">
        <x:v>0.9223533561022763</x:v>
      </x:c>
      <x:c r="E638" s="40" t="n">
        <x:v>0.06933367004294907</x:v>
      </x:c>
      <x:c r="F638" s="40" t="n">
        <x:v>0.017612422556579826</x:v>
      </x:c>
      <x:c r="G638" s="40" t="n">
        <x:v>0.24140492360226753</x:v>
      </x:c>
      <x:c r="H638" s="40" t="n">
        <x:v>0.21787587801054004</x:v>
      </x:c>
    </x:row>
    <x:row r="639">
      <x:c r="A639" t="n">
        <x:v>590</x:v>
      </x:c>
      <x:c r="B639" s="40" t="n">
        <x:v>0.0837096383727133</x:v>
      </x:c>
      <x:c r="C639" s="40" t="n">
        <x:v>0.08670672748434163</x:v>
      </x:c>
      <x:c r="D639" s="40" t="n">
        <x:v>0.7410704345919535</x:v>
      </x:c>
      <x:c r="E639" s="40" t="n">
        <x:v>0.1369773379678782</x:v>
      </x:c>
      <x:c r="F639" s="40" t="n">
        <x:v>0.12722569883521495</x:v>
      </x:c>
      <x:c r="G639" s="40" t="n">
        <x:v>0.13622523986711285</x:v>
      </x:c>
      <x:c r="H639" s="40" t="n">
        <x:v>0.3670821908138122</x:v>
      </x:c>
    </x:row>
    <x:row r="640">
      <x:c r="A640" t="n">
        <x:v>591</x:v>
      </x:c>
      <x:c r="B640" s="40" t="n">
        <x:v>0.08223446423445804</x:v>
      </x:c>
      <x:c r="C640" s="40" t="n">
        <x:v>0.07554326518759</x:v>
      </x:c>
      <x:c r="D640" s="40" t="n">
        <x:v>0.8310551301259518</x:v>
      </x:c>
      <x:c r="E640" s="40" t="n">
        <x:v>0.12884753091114626</x:v>
      </x:c>
      <x:c r="F640" s="40" t="n">
        <x:v>0.06865664774067257</x:v>
      </x:c>
      <x:c r="G640" s="40" t="n">
        <x:v>0.13465189467603023</x:v>
      </x:c>
      <x:c r="H640" s="40" t="n">
        <x:v>0.16375841267585925</x:v>
      </x:c>
    </x:row>
    <x:row r="641">
      <x:c r="A641" t="n">
        <x:v>592</x:v>
      </x:c>
      <x:c r="B641" s="40" t="n">
        <x:v>0.0814539749522661</x:v>
      </x:c>
      <x:c r="C641" s="40" t="n">
        <x:v>0.07499314555925062</x:v>
      </x:c>
      <x:c r="D641" s="40" t="n">
        <x:v>0.8267439422104899</x:v>
      </x:c>
      <x:c r="E641" s="40" t="n">
        <x:v>0.205957811018467</x:v>
      </x:c>
      <x:c r="F641" s="40" t="n">
        <x:v>0.010433457350041619</x:v>
      </x:c>
      <x:c r="G641" s="40" t="n">
        <x:v>0.20635311313524907</x:v>
      </x:c>
      <x:c r="H641" s="40" t="n">
        <x:v>0.036302492855298935</x:v>
      </x:c>
    </x:row>
    <x:row r="642">
      <x:c r="A642" t="n">
        <x:v>593</x:v>
      </x:c>
      <x:c r="B642" s="40" t="n">
        <x:v>0.09508231512791074</x:v>
      </x:c>
      <x:c r="C642" s="40" t="n">
        <x:v>0.10724814041415737</x:v>
      </x:c>
      <x:c r="D642" s="40" t="n">
        <x:v>0.7051727767214618</x:v>
      </x:c>
      <x:c r="E642" s="40" t="n">
        <x:v>0.017959233999951522</x:v>
      </x:c>
      <x:c r="F642" s="40" t="n">
        <x:v>0.08219704806540443</x:v>
      </x:c>
      <x:c r="G642" s="40" t="n">
        <x:v>0.18358442007187087</x:v>
      </x:c>
      <x:c r="H642" s="40" t="n">
        <x:v>0.15335875028787335</x:v>
      </x:c>
    </x:row>
    <x:row r="643">
      <x:c r="A643" t="n">
        <x:v>594</x:v>
      </x:c>
      <x:c r="B643" s="40" t="n">
        <x:v>0.1019670435624501</x:v>
      </x:c>
      <x:c r="C643" s="40" t="n">
        <x:v>0.12283258600729828</x:v>
      </x:c>
      <x:c r="D643" s="40" t="n">
        <x:v>0.671753319625635</x:v>
      </x:c>
      <x:c r="E643" s="40" t="n">
        <x:v>0.0339672583922122</x:v>
      </x:c>
      <x:c r="F643" s="40" t="n">
        <x:v>0.32479493596253417</x:v>
      </x:c>
      <x:c r="G643" s="40" t="n">
        <x:v>0.20839231317629048</x:v>
      </x:c>
      <x:c r="H643" s="40" t="n">
        <x:v>0.010151058694388199</x:v>
      </x:c>
    </x:row>
    <x:row r="644">
      <x:c r="A644" t="n">
        <x:v>595</x:v>
      </x:c>
      <x:c r="B644" s="40" t="n">
        <x:v>0.08161347218713916</x:v>
      </x:c>
      <x:c r="C644" s="40" t="n">
        <x:v>0.09473272181610713</x:v>
      </x:c>
      <x:c r="D644" s="40" t="n">
        <x:v>0.6561579234887367</x:v>
      </x:c>
      <x:c r="E644" s="40" t="n">
        <x:v>0.08081906439427303</x:v>
      </x:c>
      <x:c r="F644" s="40" t="n">
        <x:v>0.27996903217629815</x:v>
      </x:c>
      <x:c r="G644" s="40" t="n">
        <x:v>0.3809793582368314</x:v>
      </x:c>
      <x:c r="H644" s="40" t="n">
        <x:v>0.10923473876045983</x:v>
      </x:c>
    </x:row>
    <x:row r="645">
      <x:c r="A645" t="n">
        <x:v>596</x:v>
      </x:c>
      <x:c r="B645" s="40" t="n">
        <x:v>0.09728427907683018</x:v>
      </x:c>
      <x:c r="C645" s="40" t="n">
        <x:v>0.1739921438570305</x:v>
      </x:c>
      <x:c r="D645" s="40" t="n">
        <x:v>0.44732153531562535</x:v>
      </x:c>
      <x:c r="E645" s="40" t="n">
        <x:v>0.10457912733673175</x:v>
      </x:c>
      <x:c r="F645" s="40" t="n">
        <x:v>0.5972489592110898</x:v>
      </x:c>
      <x:c r="G645" s="40" t="n">
        <x:v>0.16033814248090664</x:v>
      </x:c>
      <x:c r="H645" s="40" t="n">
        <x:v>0.07395632538566332</x:v>
      </x:c>
    </x:row>
    <x:row r="646">
      <x:c r="A646" t="n">
        <x:v>597</x:v>
      </x:c>
      <x:c r="B646" s="40" t="n">
        <x:v>0.06026433432026485</x:v>
      </x:c>
      <x:c r="C646" s="40" t="n">
        <x:v>0.04503261672157752</x:v>
      </x:c>
      <x:c r="D646" s="40" t="n">
        <x:v>0.9062428776621418</x:v>
      </x:c>
      <x:c r="E646" s="40" t="n">
        <x:v>0.0483778491771007</x:v>
      </x:c>
      <x:c r="F646" s="40" t="n">
        <x:v>0.013403544469471491</x:v>
      </x:c>
      <x:c r="G646" s="40" t="n">
        <x:v>0.1455301329737804</x:v>
      </x:c>
      <x:c r="H646" s="40" t="n">
        <x:v>0.23381248069372385</x:v>
      </x:c>
    </x:row>
    <x:row r="647">
      <x:c r="A647" t="n">
        <x:v>598</x:v>
      </x:c>
      <x:c r="B647" s="40" t="n">
        <x:v>0.06443138871994224</x:v>
      </x:c>
      <x:c r="C647" s="40" t="n">
        <x:v>0.059830297131800644</x:v>
      </x:c>
      <x:c r="D647" s="40" t="n">
        <x:v>0.7517519504710914</x:v>
      </x:c>
      <x:c r="E647" s="40" t="n">
        <x:v>0.18463196810980778</x:v>
      </x:c>
      <x:c r="F647" s="40" t="n">
        <x:v>0.04956365610568006</x:v>
      </x:c>
      <x:c r="G647" s="40" t="n">
        <x:v>0.34708883713085803</x:v>
      </x:c>
      <x:c r="H647" s="40" t="n">
        <x:v>0.25321288037416717</x:v>
      </x:c>
    </x:row>
    <x:row r="648">
      <x:c r="A648" t="n">
        <x:v>599</x:v>
      </x:c>
      <x:c r="B648" s="40" t="n">
        <x:v>0.06812844775973377</x:v>
      </x:c>
      <x:c r="C648" s="40" t="n">
        <x:v>0.07376264417943695</x:v>
      </x:c>
      <x:c r="D648" s="40" t="n">
        <x:v>0.6598814636780169</x:v>
      </x:c>
      <x:c r="E648" s="40" t="n">
        <x:v>0.06927209345657556</x:v>
      </x:c>
      <x:c r="F648" s="40" t="n">
        <x:v>0.21013903668398154</x:v>
      </x:c>
      <x:c r="G648" s="40" t="n">
        <x:v>0.46604184365096557</x:v>
      </x:c>
      <x:c r="H648" s="40" t="n">
        <x:v>0.13799778013543015</x:v>
      </x:c>
    </x:row>
    <x:row r="649">
      <x:c r="A649" t="n">
        <x:v>600</x:v>
      </x:c>
      <x:c r="B649" s="40" t="n">
        <x:v>0.08277612369310665</x:v>
      </x:c>
      <x:c r="C649" s="40" t="n">
        <x:v>0.10607582682819415</x:v>
      </x:c>
      <x:c r="D649" s="40" t="n">
        <x:v>0.5969529480248172</x:v>
      </x:c>
      <x:c r="E649" s="40" t="n">
        <x:v>0.5461596551118558</x:v>
      </x:c>
      <x:c r="F649" s="40" t="n">
        <x:v>0.0494704912533807</x:v>
      </x:c>
      <x:c r="G649" s="40" t="n">
        <x:v>0.273146807396719</x:v>
      </x:c>
      <x:c r="H649" s="40" t="n">
        <x:v>0.024695369960388885</x:v>
      </x:c>
    </x:row>
    <x:row r="650">
      <x:c r="A650" t="n">
        <x:v>601</x:v>
      </x:c>
      <x:c r="B650" s="40" t="n">
        <x:v>0.07581473438100195</x:v>
      </x:c>
      <x:c r="C650" s="40" t="n">
        <x:v>0.10353980732865298</x:v>
      </x:c>
      <x:c r="D650" s="40" t="n">
        <x:v>0.5443402849713322</x:v>
      </x:c>
      <x:c r="E650" s="40" t="n">
        <x:v>0.17370322705982857</x:v>
      </x:c>
      <x:c r="F650" s="40" t="n">
        <x:v>0.2818534008799446</x:v>
      </x:c>
      <x:c r="G650" s="40" t="n">
        <x:v>0.21781127815889645</x:v>
      </x:c>
      <x:c r="H650" s="40" t="n">
        <x:v>0.018072862519234966</x:v>
      </x:c>
    </x:row>
    <x:row r="651">
      <x:c r="A651" t="n">
        <x:v>602</x:v>
      </x:c>
      <x:c r="B651" s="40" t="n">
        <x:v>0.07949074736214914</x:v>
      </x:c>
      <x:c r="C651" s="40" t="n">
        <x:v>0.08100091379888369</x:v>
      </x:c>
      <x:c r="D651" s="40" t="n">
        <x:v>0.7411879495257051</x:v>
      </x:c>
      <x:c r="E651" s="40" t="n">
        <x:v>0.012793025928520978</x:v>
      </x:c>
      <x:c r="F651" s="40" t="n">
        <x:v>0.012964658261283088</x:v>
      </x:c>
      <x:c r="G651" s="40" t="n">
        <x:v>0.08493336945335749</x:v>
      </x:c>
      <x:c r="H651" s="40" t="n">
        <x:v>0.625132714866364</x:v>
      </x:c>
    </x:row>
    <x:row r="652">
      <x:c r="A652" t="n">
        <x:v>603</x:v>
      </x:c>
      <x:c r="B652" s="40" t="n">
        <x:v>0.08668055452679187</x:v>
      </x:c>
      <x:c r="C652" s="40" t="n">
        <x:v>0.10040592088270385</x:v>
      </x:c>
      <x:c r="D652" s="40" t="n">
        <x:v>0.6695492435299832</x:v>
      </x:c>
      <x:c r="E652" s="40" t="n">
        <x:v>0.4592251865536868</x:v>
      </x:c>
      <x:c r="F652" s="40" t="n">
        <x:v>0.009672422330477635</x:v>
      </x:c>
      <x:c r="G652" s="40" t="n">
        <x:v>0.03553798646581522</x:v>
      </x:c>
      <x:c r="H652" s="40" t="n">
        <x:v>0.0009721288551613471</x:v>
      </x:c>
    </x:row>
    <x:row r="653">
      <x:c r="A653" t="n">
        <x:v>604</x:v>
      </x:c>
      <x:c r="B653" s="40" t="n">
        <x:v>0.09361623053330875</x:v>
      </x:c>
      <x:c r="C653" s="40" t="n">
        <x:v>0.14722711596946897</x:v>
      </x:c>
      <x:c r="D653" s="40" t="n">
        <x:v>0.5037277534855871</x:v>
      </x:c>
      <x:c r="E653" s="40" t="n">
        <x:v>0.06493017892904895</x:v>
      </x:c>
      <x:c r="F653" s="40" t="n">
        <x:v>0.4756109323797298</x:v>
      </x:c>
      <x:c r="G653" s="40" t="n">
        <x:v>0.08011944284608889</x:v>
      </x:c>
      <x:c r="H653" s="40" t="n">
        <x:v>0.22648097319037339</x:v>
      </x:c>
    </x:row>
    <x:row r="654">
      <x:c r="A654" t="n">
        <x:v>605</x:v>
      </x:c>
      <x:c r="B654" s="40" t="n">
        <x:v>0.05885337451018577</x:v>
      </x:c>
      <x:c r="C654" s="40" t="n">
        <x:v>0.06503076211350815</x:v>
      </x:c>
      <x:c r="D654" s="40" t="n">
        <x:v>0.6058598588706308</x:v>
      </x:c>
      <x:c r="E654" s="40" t="n">
        <x:v>0.013401745846912656</x:v>
      </x:c>
      <x:c r="F654" s="40" t="n">
        <x:v>0.10308428844392585</x:v>
      </x:c>
      <x:c r="G654" s="40" t="n">
        <x:v>0.5934521332912196</x:v>
      </x:c>
      <x:c r="H654" s="40" t="n">
        <x:v>0.24476212740410458</x:v>
      </x:c>
    </x:row>
    <x:row r="655">
      <x:c r="A655" t="n">
        <x:v>606</x:v>
      </x:c>
      <x:c r="B655" s="40" t="n">
        <x:v>0.09694504455987067</x:v>
      </x:c>
      <x:c r="C655" s="40" t="n">
        <x:v>0.15216376456189296</x:v>
      </x:c>
      <x:c r="D655" s="40" t="n">
        <x:v>0.5092618379226862</x:v>
      </x:c>
      <x:c r="E655" s="40" t="n">
        <x:v>0.49359692262454413</x:v>
      </x:c>
      <x:c r="F655" s="40" t="n">
        <x:v>0.2671035235710955</x:v>
      </x:c>
      <x:c r="G655" s="40" t="n">
        <x:v>0.042782351027531335</x:v>
      </x:c>
      <x:c r="H655" s="40" t="n">
        <x:v>0.0904959254356452</x:v>
      </x:c>
    </x:row>
    <x:row r="656">
      <x:c r="A656" t="n">
        <x:v>607</x:v>
      </x:c>
      <x:c r="B656" s="40" t="n">
        <x:v>0.07253056023278952</x:v>
      </x:c>
      <x:c r="C656" s="40" t="n">
        <x:v>0.06409229048991075</x:v>
      </x:c>
      <x:c r="D656" s="40" t="n">
        <x:v>0.8281294625801924</x:v>
      </x:c>
      <x:c r="E656" s="40" t="n">
        <x:v>0.13233374832683853</x:v>
      </x:c>
      <x:c r="F656" s="40" t="n">
        <x:v>0.04579782166160773</x:v>
      </x:c>
      <x:c r="G656" s="40" t="n">
        <x:v>0.2020869102831101</x:v>
      </x:c>
      <x:c r="H656" s="40" t="n">
        <x:v>0.32648302146803543</x:v>
      </x:c>
    </x:row>
    <x:row r="657">
      <x:c r="A657" t="n">
        <x:v>608</x:v>
      </x:c>
      <x:c r="B657" s="40" t="n">
        <x:v>0.11527581211376292</x:v>
      </x:c>
      <x:c r="C657" s="40" t="n">
        <x:v>0.16522671921817</x:v>
      </x:c>
      <x:c r="D657" s="40" t="n">
        <x:v>0.5799423144957006</x:v>
      </x:c>
      <x:c r="E657" s="40" t="n">
        <x:v>0.07178640446468453</x:v>
      </x:c>
      <x:c r="F657" s="40" t="n">
        <x:v>0.49591781289292486</x:v>
      </x:c>
      <x:c r="G657" s="40" t="n">
        <x:v>0.026127076303507323</x:v>
      </x:c>
      <x:c r="H657" s="40" t="n">
        <x:v>0.0010806894480300565</x:v>
      </x:c>
    </x:row>
    <x:row r="658">
      <x:c r="A658" t="n">
        <x:v>609</x:v>
      </x:c>
      <x:c r="B658" s="40" t="n">
        <x:v>0.08843313500703243</x:v>
      </x:c>
      <x:c r="C658" s="40" t="n">
        <x:v>0.0898588385154169</x:v>
      </x:c>
      <x:c r="D658" s="40" t="n">
        <x:v>0.7676405570427179</x:v>
      </x:c>
      <x:c r="E658" s="40" t="n">
        <x:v>0.0972683740336942</x:v>
      </x:c>
      <x:c r="F658" s="40" t="n">
        <x:v>0.0573844787401242</x:v>
      </x:c>
      <x:c r="G658" s="40" t="n">
        <x:v>0.20357982479385084</x:v>
      </x:c>
      <x:c r="H658" s="40" t="n">
        <x:v>0.09803240069854177</x:v>
      </x:c>
    </x:row>
    <x:row r="659">
      <x:c r="A659" t="n">
        <x:v>610</x:v>
      </x:c>
      <x:c r="B659" s="40" t="n">
        <x:v>0.06646139282818003</x:v>
      </x:c>
      <x:c r="C659" s="40" t="n">
        <x:v>0.06377970417713517</x:v>
      </x:c>
      <x:c r="D659" s="40" t="n">
        <x:v>0.7370298636660334</x:v>
      </x:c>
      <x:c r="E659" s="40" t="n">
        <x:v>0.018133564562157065</x:v>
      </x:c>
      <x:c r="F659" s="40" t="n">
        <x:v>0.023849133418320144</x:v>
      </x:c>
      <x:c r="G659" s="40" t="n">
        <x:v>0.47201497307456414</x:v>
      </x:c>
      <x:c r="H659" s="40" t="n">
        <x:v>0.052303899660351726</x:v>
      </x:c>
    </x:row>
    <x:row r="660">
      <x:c r="A660" t="n">
        <x:v>611</x:v>
      </x:c>
      <x:c r="B660" s="40" t="n">
        <x:v>0.11064420120920224</x:v>
      </x:c>
      <x:c r="C660" s="40" t="n">
        <x:v>0.13220485733844178</x:v>
      </x:c>
      <x:c r="D660" s="40" t="n">
        <x:v>0.6897655418356574</x:v>
      </x:c>
      <x:c r="E660" s="40" t="n">
        <x:v>0.0491090815345351</x:v>
      </x:c>
      <x:c r="F660" s="40" t="n">
        <x:v>0.2091411511745509</x:v>
      </x:c>
      <x:c r="G660" s="40" t="n">
        <x:v>0.005064850002132652</x:v>
      </x:c>
      <x:c r="H660" s="40" t="n">
        <x:v>0.14555752249579917</x:v>
      </x:c>
    </x:row>
    <x:row r="661">
      <x:c r="A661" t="n">
        <x:v>612</x:v>
      </x:c>
      <x:c r="B661" s="40" t="n">
        <x:v>0.0889852011644419</x:v>
      </x:c>
      <x:c r="C661" s="40" t="n">
        <x:v>0.1337945410698371</x:v>
      </x:c>
      <x:c r="D661" s="40" t="n">
        <x:v>0.5196875332477301</x:v>
      </x:c>
      <x:c r="E661" s="40" t="n">
        <x:v>0.1832932009810119</x:v>
      </x:c>
      <x:c r="F661" s="40" t="n">
        <x:v>0.349882279142273</x:v>
      </x:c>
      <x:c r="G661" s="40" t="n">
        <x:v>0.01286939096692813</x:v>
      </x:c>
      <x:c r="H661" s="40" t="n">
        <x:v>0.2514301670381655</x:v>
      </x:c>
    </x:row>
    <x:row r="662">
      <x:c r="A662" t="n">
        <x:v>613</x:v>
      </x:c>
      <x:c r="B662" s="40" t="n">
        <x:v>0.058134465698739896</x:v>
      </x:c>
      <x:c r="C662" s="40" t="n">
        <x:v>0.06481202610418663</x:v>
      </x:c>
      <x:c r="D662" s="40" t="n">
        <x:v>0.5968123798924889</x:v>
      </x:c>
      <x:c r="E662" s="40" t="n">
        <x:v>0.0162832966727354</x:v>
      </x:c>
      <x:c r="F662" s="40" t="n">
        <x:v>0.10045642869711738</x:v>
      </x:c>
      <x:c r="G662" s="40" t="n">
        <x:v>0.07628771950499792</x:v>
      </x:c>
      <x:c r="H662" s="40" t="n">
        <x:v>0.05618073800465548</x:v>
      </x:c>
    </x:row>
    <x:row r="663">
      <x:c r="A663" t="n">
        <x:v>614</x:v>
      </x:c>
      <x:c r="B663" s="40" t="n">
        <x:v>0.09432156751202966</x:v>
      </x:c>
      <x:c r="C663" s="40" t="n">
        <x:v>0.12103859817253297</x:v>
      </x:c>
      <x:c r="D663" s="40" t="n">
        <x:v>0.6185441874621205</x:v>
      </x:c>
      <x:c r="E663" s="40" t="n">
        <x:v>0.28980013097379775</x:v>
      </x:c>
      <x:c r="F663" s="40" t="n">
        <x:v>0.21369315577942827</x:v>
      </x:c>
      <x:c r="G663" s="40" t="n">
        <x:v>0.0047721853411197435</x:v>
      </x:c>
      <x:c r="H663" s="40" t="n">
        <x:v>0.2595972473062204</x:v>
      </x:c>
    </x:row>
    <x:row r="664">
      <x:c r="A664" t="n">
        <x:v>615</x:v>
      </x:c>
      <x:c r="B664" s="40" t="n">
        <x:v>0.05809839190596197</x:v>
      </x:c>
      <x:c r="C664" s="40" t="n">
        <x:v>0.05692526781034597</x:v>
      </x:c>
      <x:c r="D664" s="40" t="n">
        <x:v>0.6788645400995778</x:v>
      </x:c>
      <x:c r="E664" s="40" t="n">
        <x:v>0.008836956111439155</x:v>
      </x:c>
      <x:c r="F664" s="40" t="n">
        <x:v>0.09572360777568052</x:v>
      </x:c>
      <x:c r="G664" s="40" t="n">
        <x:v>0.5761366326369428</x:v>
      </x:c>
      <x:c r="H664" s="40" t="n">
        <x:v>0.10102375728110753</x:v>
      </x:c>
    </x:row>
    <x:row r="665">
      <x:c r="A665" t="n">
        <x:v>616</x:v>
      </x:c>
      <x:c r="B665" s="40" t="n">
        <x:v>0.06482224515871905</x:v>
      </x:c>
      <x:c r="C665" s="40" t="n">
        <x:v>0.06550217899241845</x:v>
      </x:c>
      <x:c r="D665" s="40" t="n">
        <x:v>0.6926242714784201</x:v>
      </x:c>
      <x:c r="E665" s="40" t="n">
        <x:v>0.01715700097965863</x:v>
      </x:c>
      <x:c r="F665" s="40" t="n">
        <x:v>0.009375833495833227</x:v>
      </x:c>
      <x:c r="G665" s="40" t="n">
        <x:v>0.4979262473633284</x:v>
      </x:c>
      <x:c r="H665" s="40" t="n">
        <x:v>0.09192451437625204</x:v>
      </x:c>
    </x:row>
    <x:row r="666">
      <x:c r="A666" t="n">
        <x:v>617</x:v>
      </x:c>
      <x:c r="B666" s="40" t="n">
        <x:v>0.06676409557243475</x:v>
      </x:c>
      <x:c r="C666" s="40" t="n">
        <x:v>0.06975813359666452</x:v>
      </x:c>
      <x:c r="D666" s="40" t="n">
        <x:v>0.6782040599327435</x:v>
      </x:c>
      <x:c r="E666" s="40" t="n">
        <x:v>0.029982211970081097</x:v>
      </x:c>
      <x:c r="F666" s="40" t="n">
        <x:v>0.1633716236869293</x:v>
      </x:c>
      <x:c r="G666" s="40" t="n">
        <x:v>0.5985953239867521</x:v>
      </x:c>
      <x:c r="H666" s="40" t="n">
        <x:v>0.07839804188020515</x:v>
      </x:c>
    </x:row>
    <x:row r="667">
      <x:c r="A667" t="n">
        <x:v>618</x:v>
      </x:c>
      <x:c r="B667" s="40" t="n">
        <x:v>0.06860273369157921</x:v>
      </x:c>
      <x:c r="C667" s="40" t="n">
        <x:v>0.0723110912809684</x:v>
      </x:c>
      <x:c r="D667" s="40" t="n">
        <x:v>0.6796867073511942</x:v>
      </x:c>
      <x:c r="E667" s="40" t="n">
        <x:v>0.03910173064356095</x:v>
      </x:c>
      <x:c r="F667" s="40" t="n">
        <x:v>0.15574867379132434</x:v>
      </x:c>
      <x:c r="G667" s="40" t="n">
        <x:v>0.22405412073551056</x:v>
      </x:c>
      <x:c r="H667" s="40" t="n">
        <x:v>0.4433876486200354</x:v>
      </x:c>
    </x:row>
    <x:row r="668">
      <x:c r="A668" t="n">
        <x:v>619</x:v>
      </x:c>
      <x:c r="B668" s="40" t="n">
        <x:v>0.07260928806886571</x:v>
      </x:c>
      <x:c r="C668" s="40" t="n">
        <x:v>0.07236843323428284</x:v>
      </x:c>
      <x:c r="D668" s="40" t="n">
        <x:v>0.734511437368502</x:v>
      </x:c>
      <x:c r="E668" s="40" t="n">
        <x:v>0.2613476926169396</x:v>
      </x:c>
      <x:c r="F668" s="40" t="n">
        <x:v>0.07921100927929324</x:v>
      </x:c>
      <x:c r="G668" s="40" t="n">
        <x:v>0.27161161151292196</x:v>
      </x:c>
      <x:c r="H668" s="40" t="n">
        <x:v>0.12190595983680823</x:v>
      </x:c>
    </x:row>
    <x:row r="669">
      <x:c r="A669" t="n">
        <x:v>620</x:v>
      </x:c>
      <x:c r="B669" s="40" t="n">
        <x:v>0.08469689117513429</x:v>
      </x:c>
      <x:c r="C669" s="40" t="n">
        <x:v>0.11518538275152675</x:v>
      </x:c>
      <x:c r="D669" s="40" t="n">
        <x:v>0.5664177473111133</x:v>
      </x:c>
      <x:c r="E669" s="40" t="n">
        <x:v>0.3112699314005842</x:v>
      </x:c>
      <x:c r="F669" s="40" t="n">
        <x:v>0.2026230934900569</x:v>
      </x:c>
      <x:c r="G669" s="40" t="n">
        <x:v>0.007767730774248642</x:v>
      </x:c>
      <x:c r="H669" s="40" t="n">
        <x:v>0.11105800756003226</x:v>
      </x:c>
    </x:row>
    <x:row r="670">
      <x:c r="A670" t="n">
        <x:v>621</x:v>
      </x:c>
      <x:c r="B670" s="40" t="n">
        <x:v>0.06422377085927759</x:v>
      </x:c>
      <x:c r="C670" s="40" t="n">
        <x:v>0.050650769277540225</x:v>
      </x:c>
      <x:c r="D670" s="40" t="n">
        <x:v>0.8838942694061609</x:v>
      </x:c>
      <x:c r="E670" s="40" t="n">
        <x:v>0.030277005940622864</x:v>
      </x:c>
      <x:c r="F670" s="40" t="n">
        <x:v>0.053403353591576094</x:v>
      </x:c>
      <x:c r="G670" s="40" t="n">
        <x:v>0.36774019002209674</x:v>
      </x:c>
      <x:c r="H670" s="40" t="n">
        <x:v>0.07452225076685137</x:v>
      </x:c>
    </x:row>
    <x:row r="671">
      <x:c r="A671" t="n">
        <x:v>622</x:v>
      </x:c>
      <x:c r="B671" s="40" t="n">
        <x:v>0.09827880479942055</x:v>
      </x:c>
      <x:c r="C671" s="40" t="n">
        <x:v>0.1236526178945164</x:v>
      </x:c>
      <x:c r="D671" s="40" t="n">
        <x:v>0.6374710053677727</x:v>
      </x:c>
      <x:c r="E671" s="40" t="n">
        <x:v>0.22898498961283872</x:v>
      </x:c>
      <x:c r="F671" s="40" t="n">
        <x:v>0.26024815789511146</x:v>
      </x:c>
      <x:c r="G671" s="40" t="n">
        <x:v>0.0002948675271864398</x:v>
      </x:c>
      <x:c r="H671" s="40" t="n">
        <x:v>0.03182077791336053</x:v>
      </x:c>
    </x:row>
    <x:row r="672">
      <x:c r="A672" t="n">
        <x:v>623</x:v>
      </x:c>
      <x:c r="B672" s="40" t="n">
        <x:v>0.08227473060412921</x:v>
      </x:c>
      <x:c r="C672" s="40" t="n">
        <x:v>0.11040930950232684</x:v>
      </x:c>
      <x:c r="D672" s="40" t="n">
        <x:v>0.5689817709525583</x:v>
      </x:c>
      <x:c r="E672" s="40" t="n">
        <x:v>0.031562145991984605</x:v>
      </x:c>
      <x:c r="F672" s="40" t="n">
        <x:v>0.3994142624257971</x:v>
      </x:c>
      <x:c r="G672" s="40" t="n">
        <x:v>0.3846869946661594</x:v>
      </x:c>
      <x:c r="H672" s="40" t="n">
        <x:v>0.006385141197117454</x:v>
      </x:c>
    </x:row>
    <x:row r="673">
      <x:c r="A673" t="n">
        <x:v>624</x:v>
      </x:c>
      <x:c r="B673" s="40" t="n">
        <x:v>0.10418364706956058</x:v>
      </x:c>
      <x:c r="C673" s="40" t="n">
        <x:v>0.12259412641940094</x:v>
      </x:c>
      <x:c r="D673" s="40" t="n">
        <x:v>0.6911407861894568</x:v>
      </x:c>
      <x:c r="E673" s="40" t="n">
        <x:v>0.03025138152656122</x:v>
      </x:c>
      <x:c r="F673" s="40" t="n">
        <x:v>0.18984919520412555</x:v>
      </x:c>
      <x:c r="G673" s="40" t="n">
        <x:v>0.20032559210514328</x:v>
      </x:c>
      <x:c r="H673" s="40" t="n">
        <x:v>0.0019624906275204955</x:v>
      </x:c>
    </x:row>
    <x:row r="674">
      <x:c r="A674" t="n">
        <x:v>625</x:v>
      </x:c>
      <x:c r="B674" s="40" t="n">
        <x:v>0.09615085583749927</x:v>
      </x:c>
      <x:c r="C674" s="40" t="n">
        <x:v>0.10884910204760502</x:v>
      </x:c>
      <x:c r="D674" s="40" t="n">
        <x:v>0.7046177528420011</x:v>
      </x:c>
      <x:c r="E674" s="40" t="n">
        <x:v>0.20056769337181096</x:v>
      </x:c>
      <x:c r="F674" s="40" t="n">
        <x:v>0.1657063099111088</x:v>
      </x:c>
      <x:c r="G674" s="40" t="n">
        <x:v>0.0582807871909082</x:v>
      </x:c>
      <x:c r="H674" s="40" t="n">
        <x:v>0.25009206206826573</x:v>
      </x:c>
    </x:row>
    <x:row r="675">
      <x:c r="A675" t="n">
        <x:v>626</x:v>
      </x:c>
      <x:c r="B675" s="40" t="n">
        <x:v>0.08390143667205366</x:v>
      </x:c>
      <x:c r="C675" s="40" t="n">
        <x:v>0.08247314168594062</x:v>
      </x:c>
      <x:c r="D675" s="40" t="n">
        <x:v>0.7814373164493383</x:v>
      </x:c>
      <x:c r="E675" s="40" t="n">
        <x:v>0.20558000459136333</x:v>
      </x:c>
      <x:c r="F675" s="40" t="n">
        <x:v>0.02903653660432341</x:v>
      </x:c>
      <x:c r="G675" s="40" t="n">
        <x:v>0.09740414888751928</x:v>
      </x:c>
      <x:c r="H675" s="40" t="n">
        <x:v>0.3445372069164373</x:v>
      </x:c>
    </x:row>
    <x:row r="676">
      <x:c r="A676" t="n">
        <x:v>627</x:v>
      </x:c>
      <x:c r="B676" s="40" t="n">
        <x:v>0.09137860679269619</x:v>
      </x:c>
      <x:c r="C676" s="40" t="n">
        <x:v>0.1027187081635561</x:v>
      </x:c>
      <x:c r="D676" s="40" t="n">
        <x:v>0.7002109150781595</x:v>
      </x:c>
      <x:c r="E676" s="40" t="n">
        <x:v>0.018879826474364578</x:v>
      </x:c>
      <x:c r="F676" s="40" t="n">
        <x:v>0.28169621163184366</x:v>
      </x:c>
      <x:c r="G676" s="40" t="n">
        <x:v>0.15254853480432323</x:v>
      </x:c>
      <x:c r="H676" s="40" t="n">
        <x:v>0.0684708760949539</x:v>
      </x:c>
    </x:row>
    <x:row r="677">
      <x:c r="A677" t="n">
        <x:v>628</x:v>
      </x:c>
      <x:c r="B677" s="40" t="n">
        <x:v>0.0646887179059363</x:v>
      </x:c>
      <x:c r="C677" s="40" t="n">
        <x:v>0.06647459745511584</x:v>
      </x:c>
      <x:c r="D677" s="40" t="n">
        <x:v>0.6804835754384685</x:v>
      </x:c>
      <x:c r="E677" s="40" t="n">
        <x:v>0.24818359152263936</x:v>
      </x:c>
      <x:c r="F677" s="40" t="n">
        <x:v>0.03694744303813441</x:v>
      </x:c>
      <x:c r="G677" s="40" t="n">
        <x:v>0.15663955682276973</x:v>
      </x:c>
      <x:c r="H677" s="40" t="n">
        <x:v>0.03806205767544925</x:v>
      </x:c>
    </x:row>
    <x:row r="678">
      <x:c r="A678" t="n">
        <x:v>629</x:v>
      </x:c>
      <x:c r="B678" s="40" t="n">
        <x:v>0.09132645629046315</x:v>
      </x:c>
      <x:c r="C678" s="40" t="n">
        <x:v>0.09369692153867235</x:v>
      </x:c>
      <x:c r="D678" s="40" t="n">
        <x:v>0.7670754701044515</x:v>
      </x:c>
      <x:c r="E678" s="40" t="n">
        <x:v>0.06252773396631749</x:v>
      </x:c>
      <x:c r="F678" s="40" t="n">
        <x:v>0.04413335331548044</x:v>
      </x:c>
      <x:c r="G678" s="40" t="n">
        <x:v>0.09438218826969297</x:v>
      </x:c>
      <x:c r="H678" s="40" t="n">
        <x:v>0.11570681864988344</x:v>
      </x:c>
    </x:row>
    <x:row r="679">
      <x:c r="A679" t="n">
        <x:v>630</x:v>
      </x:c>
      <x:c r="B679" s="40" t="n">
        <x:v>0.08443242694661034</x:v>
      </x:c>
      <x:c r="C679" s="40" t="n">
        <x:v>0.1307398443977174</x:v>
      </x:c>
      <x:c r="D679" s="40" t="n">
        <x:v>0.49700671659892726</x:v>
      </x:c>
      <x:c r="E679" s="40" t="n">
        <x:v>0.08848785455840659</x:v>
      </x:c>
      <x:c r="F679" s="40" t="n">
        <x:v>0.46286988060222456</x:v>
      </x:c>
      <x:c r="G679" s="40" t="n">
        <x:v>0.37354142329416024</x:v>
      </x:c>
      <x:c r="H679" s="40" t="n">
        <x:v>0.05675990395243016</x:v>
      </x:c>
    </x:row>
    <x:row r="680">
      <x:c r="A680" t="n">
        <x:v>631</x:v>
      </x:c>
      <x:c r="B680" s="40" t="n">
        <x:v>0.0580414685793866</x:v>
      </x:c>
      <x:c r="C680" s="40" t="n">
        <x:v>0.056970170880934784</x:v>
      </x:c>
      <x:c r="D680" s="40" t="n">
        <x:v>0.6773302910778857</x:v>
      </x:c>
      <x:c r="E680" s="40" t="n">
        <x:v>0.054509620121019814</x:v>
      </x:c>
      <x:c r="F680" s="40" t="n">
        <x:v>0.07500819149246833</x:v>
      </x:c>
      <x:c r="G680" s="40" t="n">
        <x:v>0.14175833831828114</x:v>
      </x:c>
      <x:c r="H680" s="40" t="n">
        <x:v>0.09999072037573405</x:v>
      </x:c>
    </x:row>
    <x:row r="681">
      <x:c r="A681" t="n">
        <x:v>632</x:v>
      </x:c>
      <x:c r="B681" s="40" t="n">
        <x:v>0.06955563260119785</x:v>
      </x:c>
      <x:c r="C681" s="40" t="n">
        <x:v>0.0668479185798791</x:v>
      </x:c>
      <x:c r="D681" s="40" t="n">
        <x:v>0.7494891017060341</x:v>
      </x:c>
      <x:c r="E681" s="40" t="n">
        <x:v>0.21232162846182154</x:v>
      </x:c>
      <x:c r="F681" s="40" t="n">
        <x:v>0.07037263492441136</x:v>
      </x:c>
      <x:c r="G681" s="40" t="n">
        <x:v>0.38232929116965236</x:v>
      </x:c>
      <x:c r="H681" s="40" t="n">
        <x:v>0.18640813567636227</x:v>
      </x:c>
    </x:row>
    <x:row r="682">
      <x:c r="A682" t="n">
        <x:v>633</x:v>
      </x:c>
      <x:c r="B682" s="40" t="n">
        <x:v>0.09752688114361782</x:v>
      </x:c>
      <x:c r="C682" s="40" t="n">
        <x:v>0.10454752806258523</x:v>
      </x:c>
      <x:c r="D682" s="40" t="n">
        <x:v>0.7467707408924565</x:v>
      </x:c>
      <x:c r="E682" s="40" t="n">
        <x:v>0.04473560207252667</x:v>
      </x:c>
      <x:c r="F682" s="40" t="n">
        <x:v>0.11035512061845751</x:v>
      </x:c>
      <x:c r="G682" s="40" t="n">
        <x:v>0.016519211823031916</x:v>
      </x:c>
      <x:c r="H682" s="40" t="n">
        <x:v>0.22155797802975774</x:v>
      </x:c>
    </x:row>
    <x:row r="683">
      <x:c r="A683" t="n">
        <x:v>634</x:v>
      </x:c>
      <x:c r="B683" s="40" t="n">
        <x:v>0.10245832523675416</x:v>
      </x:c>
      <x:c r="C683" s="40" t="n">
        <x:v>0.11792522231437887</x:v>
      </x:c>
      <x:c r="D683" s="40" t="n">
        <x:v>0.7038738401664824</x:v>
      </x:c>
      <x:c r="E683" s="40" t="n">
        <x:v>0.3267501507852758</x:v>
      </x:c>
      <x:c r="F683" s="40" t="n">
        <x:v>0.08989556817614104</x:v>
      </x:c>
      <x:c r="G683" s="40" t="n">
        <x:v>0.062168413077402805</x:v>
      </x:c>
      <x:c r="H683" s="40" t="n">
        <x:v>0.058166940616833154</x:v>
      </x:c>
    </x:row>
    <x:row r="684">
      <x:c r="A684" t="n">
        <x:v>635</x:v>
      </x:c>
      <x:c r="B684" s="40" t="n">
        <x:v>0.08047628227935844</x:v>
      </x:c>
      <x:c r="C684" s="40" t="n">
        <x:v>0.08063263955099671</x:v>
      </x:c>
      <x:c r="D684" s="40" t="n">
        <x:v>0.7567957152998592</x:v>
      </x:c>
      <x:c r="E684" s="40" t="n">
        <x:v>0.24450009201437944</x:v>
      </x:c>
      <x:c r="F684" s="40" t="n">
        <x:v>0.059615474292770504</x:v>
      </x:c>
      <x:c r="G684" s="40" t="n">
        <x:v>0.08054615985433265</x:v>
      </x:c>
      <x:c r="H684" s="40" t="n">
        <x:v>0.2742942862234</x:v>
      </x:c>
    </x:row>
    <x:row r="685">
      <x:c r="A685" t="n">
        <x:v>636</x:v>
      </x:c>
      <x:c r="B685" s="40" t="n">
        <x:v>0.08223168470223181</x:v>
      </x:c>
      <x:c r="C685" s="40" t="n">
        <x:v>0.10961595443384133</x:v>
      </x:c>
      <x:c r="D685" s="40" t="n">
        <x:v>0.5727071289268864</x:v>
      </x:c>
      <x:c r="E685" s="40" t="n">
        <x:v>0.34525563366784506</x:v>
      </x:c>
      <x:c r="F685" s="40" t="n">
        <x:v>0.1580039217547375</x:v>
      </x:c>
      <x:c r="G685" s="40" t="n">
        <x:v>0.03290197618536619</x:v>
      </x:c>
      <x:c r="H685" s="40" t="n">
        <x:v>0.2102960095683449</x:v>
      </x:c>
    </x:row>
    <x:row r="686">
      <x:c r="A686" t="n">
        <x:v>637</x:v>
      </x:c>
      <x:c r="B686" s="40" t="n">
        <x:v>0.10196436667470182</x:v>
      </x:c>
      <x:c r="C686" s="40" t="n">
        <x:v>0.19685649891396623</x:v>
      </x:c>
      <x:c r="D686" s="40" t="n">
        <x:v>0.4191404448217679</x:v>
      </x:c>
      <x:c r="E686" s="40" t="n">
        <x:v>0.051304325107052726</x:v>
      </x:c>
      <x:c r="F686" s="40" t="n">
        <x:v>0.6981319669913277</x:v>
      </x:c>
      <x:c r="G686" s="40" t="n">
        <x:v>0.07934038382662387</x:v>
      </x:c>
      <x:c r="H686" s="40" t="n">
        <x:v>0.05757956574212765</x:v>
      </x:c>
    </x:row>
    <x:row r="687">
      <x:c r="A687" t="n">
        <x:v>638</x:v>
      </x:c>
      <x:c r="B687" s="40" t="n">
        <x:v>0.08939288441528481</x:v>
      </x:c>
      <x:c r="C687" s="40" t="n">
        <x:v>0.09888483591685716</x:v>
      </x:c>
      <x:c r="D687" s="40" t="n">
        <x:v>0.7072776893743721</x:v>
      </x:c>
      <x:c r="E687" s="40" t="n">
        <x:v>0.17911409876457846</x:v>
      </x:c>
      <x:c r="F687" s="40" t="n">
        <x:v>0.19858981426668912</x:v>
      </x:c>
      <x:c r="G687" s="40" t="n">
        <x:v>0.10844086203191874</x:v>
      </x:c>
      <x:c r="H687" s="40" t="n">
        <x:v>0.04702715787841402</x:v>
      </x:c>
    </x:row>
    <x:row r="688">
      <x:c r="A688" t="n">
        <x:v>639</x:v>
      </x:c>
      <x:c r="B688" s="40" t="n">
        <x:v>0.10078331350052935</x:v>
      </x:c>
      <x:c r="C688" s="40" t="n">
        <x:v>0.16888107898045918</x:v>
      </x:c>
      <x:c r="D688" s="40" t="n">
        <x:v>0.48157832622619395</x:v>
      </x:c>
      <x:c r="E688" s="40" t="n">
        <x:v>0.27269276433819784</x:v>
      </x:c>
      <x:c r="F688" s="40" t="n">
        <x:v>0.4846587347560983</x:v>
      </x:c>
      <x:c r="G688" s="40" t="n">
        <x:v>0.10096109208568953</x:v>
      </x:c>
      <x:c r="H688" s="40" t="n">
        <x:v>0.022146896198020818</x:v>
      </x:c>
    </x:row>
    <x:row r="689">
      <x:c r="A689" t="n">
        <x:v>640</x:v>
      </x:c>
      <x:c r="B689" s="40" t="n">
        <x:v>0.09604794296808636</x:v>
      </x:c>
      <x:c r="C689" s="40" t="n">
        <x:v>0.12236380039243955</x:v>
      </x:c>
      <x:c r="D689" s="40" t="n">
        <x:v>0.6259538897009667</x:v>
      </x:c>
      <x:c r="E689" s="40" t="n">
        <x:v>0.2253995377791443</x:v>
      </x:c>
      <x:c r="F689" s="40" t="n">
        <x:v>0.25786827809507956</x:v>
      </x:c>
      <x:c r="G689" s="40" t="n">
        <x:v>0.02351081421657927</x:v>
      </x:c>
      <x:c r="H689" s="40" t="n">
        <x:v>0.21506384157202948</x:v>
      </x:c>
    </x:row>
    <x:row r="690">
      <x:c r="A690" t="n">
        <x:v>641</x:v>
      </x:c>
      <x:c r="B690" s="40" t="n">
        <x:v>0.08530000426877399</x:v>
      </x:c>
      <x:c r="C690" s="40" t="n">
        <x:v>0.0970594507003934</x:v>
      </x:c>
      <x:c r="D690" s="40" t="n">
        <x:v>0.6784105786687802</x:v>
      </x:c>
      <x:c r="E690" s="40" t="n">
        <x:v>0.15913916202885572</x:v>
      </x:c>
      <x:c r="F690" s="40" t="n">
        <x:v>0.2394271789441386</x:v>
      </x:c>
      <x:c r="G690" s="40" t="n">
        <x:v>0.31436501487746865</x:v>
      </x:c>
      <x:c r="H690" s="40" t="n">
        <x:v>0.08839097053908906</x:v>
      </x:c>
    </x:row>
    <x:row r="691">
      <x:c r="A691" t="n">
        <x:v>642</x:v>
      </x:c>
      <x:c r="B691" s="40" t="n">
        <x:v>0.09183355888086184</x:v>
      </x:c>
      <x:c r="C691" s="40" t="n">
        <x:v>0.13213729957818987</x:v>
      </x:c>
      <x:c r="D691" s="40" t="n">
        <x:v>0.5477614039190069</x:v>
      </x:c>
      <x:c r="E691" s="40" t="n">
        <x:v>0.5500080276074684</x:v>
      </x:c>
      <x:c r="F691" s="40" t="n">
        <x:v>0.13536077957072354</x:v>
      </x:c>
      <x:c r="G691" s="40" t="n">
        <x:v>0.06062114866883951</x:v>
      </x:c>
      <x:c r="H691" s="40" t="n">
        <x:v>0.07438985241460866</x:v>
      </x:c>
    </x:row>
    <x:row r="692">
      <x:c r="A692" t="n">
        <x:v>643</x:v>
      </x:c>
      <x:c r="B692" s="40" t="n">
        <x:v>0.07534759341495734</x:v>
      </x:c>
      <x:c r="C692" s="40" t="n">
        <x:v>0.06545483400022664</x:v>
      </x:c>
      <x:c r="D692" s="40" t="n">
        <x:v>0.8539284854181686</x:v>
      </x:c>
      <x:c r="E692" s="40" t="n">
        <x:v>0.02291387249563379</x:v>
      </x:c>
      <x:c r="F692" s="40" t="n">
        <x:v>0.09938643239307912</x:v>
      </x:c>
      <x:c r="G692" s="40" t="n">
        <x:v>0.18760999293584982</x:v>
      </x:c>
      <x:c r="H692" s="40" t="n">
        <x:v>0.2178730859932181</x:v>
      </x:c>
    </x:row>
    <x:row r="693">
      <x:c r="A693" t="n">
        <x:v>644</x:v>
      </x:c>
      <x:c r="B693" s="40" t="n">
        <x:v>0.07876448910695609</x:v>
      </x:c>
      <x:c r="C693" s="40" t="n">
        <x:v>0.09599835089337498</x:v>
      </x:c>
      <x:c r="D693" s="40" t="n">
        <x:v>0.617829810628581</x:v>
      </x:c>
      <x:c r="E693" s="40" t="n">
        <x:v>0.20983829764778264</x:v>
      </x:c>
      <x:c r="F693" s="40" t="n">
        <x:v>0.13745221233832344</x:v>
      </x:c>
      <x:c r="G693" s="40" t="n">
        <x:v>0.02485030450649841</x:v>
      </x:c>
      <x:c r="H693" s="40" t="n">
        <x:v>0.557382194478112</x:v>
      </x:c>
    </x:row>
    <x:row r="694">
      <x:c r="A694" t="n">
        <x:v>645</x:v>
      </x:c>
      <x:c r="B694" s="40" t="n">
        <x:v>0.0947853123713377</x:v>
      </x:c>
      <x:c r="C694" s="40" t="n">
        <x:v>0.10379128291563536</x:v>
      </x:c>
      <x:c r="D694" s="40" t="n">
        <x:v>0.7257976209690288</x:v>
      </x:c>
      <x:c r="E694" s="40" t="n">
        <x:v>0.3346096895281954</x:v>
      </x:c>
      <x:c r="F694" s="40" t="n">
        <x:v>0.00831265557826252</x:v>
      </x:c>
      <x:c r="G694" s="40" t="n">
        <x:v>0.046797263166916896</x:v>
      </x:c>
      <x:c r="H694" s="40" t="n">
        <x:v>0.2236189025831021</x:v>
      </x:c>
    </x:row>
    <x:row r="695">
      <x:c r="A695" t="n">
        <x:v>646</x:v>
      </x:c>
      <x:c r="B695" s="40" t="n">
        <x:v>0.06978369775473481</x:v>
      </x:c>
      <x:c r="C695" s="40" t="n">
        <x:v>0.08390802221926456</x:v>
      </x:c>
      <x:c r="D695" s="40" t="n">
        <x:v>0.5998216889127599</x:v>
      </x:c>
      <x:c r="E695" s="40" t="n">
        <x:v>0.0029898152105697785</x:v>
      </x:c>
      <x:c r="F695" s="40" t="n">
        <x:v>0.281927290904493</x:v>
      </x:c>
      <x:c r="G695" s="40" t="n">
        <x:v>0.29696327265330386</x:v>
      </x:c>
      <x:c r="H695" s="40" t="n">
        <x:v>0.07525765983491761</x:v>
      </x:c>
    </x:row>
    <x:row r="696">
      <x:c r="A696" t="n">
        <x:v>647</x:v>
      </x:c>
      <x:c r="B696" s="40" t="n">
        <x:v>0.10060444520885575</x:v>
      </x:c>
      <x:c r="C696" s="40" t="n">
        <x:v>0.11847964761265416</x:v>
      </x:c>
      <x:c r="D696" s="40" t="n">
        <x:v>0.6849328191818689</x:v>
      </x:c>
      <x:c r="E696" s="40" t="n">
        <x:v>0.013273050248147965</x:v>
      </x:c>
      <x:c r="F696" s="40" t="n">
        <x:v>0.26826880073710613</x:v>
      </x:c>
      <x:c r="G696" s="40" t="n">
        <x:v>0.008433375089977818</x:v>
      </x:c>
      <x:c r="H696" s="40" t="n">
        <x:v>0.3055329691756736</x:v>
      </x:c>
    </x:row>
    <x:row r="697">
      <x:c r="A697" t="n">
        <x:v>648</x:v>
      </x:c>
      <x:c r="B697" s="40" t="n">
        <x:v>0.09462854135481688</x:v>
      </x:c>
      <x:c r="C697" s="40" t="n">
        <x:v>0.1109539485937633</x:v>
      </x:c>
      <x:c r="D697" s="40" t="n">
        <x:v>0.6775305985387552</x:v>
      </x:c>
      <x:c r="E697" s="40" t="n">
        <x:v>0.08349034623482264</x:v>
      </x:c>
      <x:c r="F697" s="40" t="n">
        <x:v>0.2920355937918252</x:v>
      </x:c>
      <x:c r="G697" s="40" t="n">
        <x:v>0.20347878391659424</x:v>
      </x:c>
      <x:c r="H697" s="40" t="n">
        <x:v>0.07410375997232356</x:v>
      </x:c>
    </x:row>
    <x:row r="698">
      <x:c r="A698" t="n">
        <x:v>649</x:v>
      </x:c>
      <x:c r="B698" s="40" t="n">
        <x:v>0.0759718661257117</x:v>
      </x:c>
      <x:c r="C698" s="40" t="n">
        <x:v>0.07468790703027882</x:v>
      </x:c>
      <x:c r="D698" s="40" t="n">
        <x:v>0.7567225032688744</x:v>
      </x:c>
      <x:c r="E698" s="40" t="n">
        <x:v>0.24494000741381644</x:v>
      </x:c>
      <x:c r="F698" s="40" t="n">
        <x:v>0.023964119341098464</x:v>
      </x:c>
      <x:c r="G698" s="40" t="n">
        <x:v>0.14925510057231856</x:v>
      </x:c>
      <x:c r="H698" s="40" t="n">
        <x:v>0.38341049225326307</x:v>
      </x:c>
    </x:row>
    <x:row r="699">
      <x:c r="A699" t="n">
        <x:v>650</x:v>
      </x:c>
      <x:c r="B699" s="40" t="n">
        <x:v>0.06276306979341677</x:v>
      </x:c>
      <x:c r="C699" s="40" t="n">
        <x:v>0.057180402170369744</x:v>
      </x:c>
      <x:c r="D699" s="40" t="n">
        <x:v>0.7574137640817954</x:v>
      </x:c>
      <x:c r="E699" s="40" t="n">
        <x:v>0.2509496218096121</x:v>
      </x:c>
      <x:c r="F699" s="40" t="n">
        <x:v>0.009282652159819526</x:v>
      </x:c>
      <x:c r="G699" s="40" t="n">
        <x:v>0.35475045055424803</x:v>
      </x:c>
      <x:c r="H699" s="40" t="n">
        <x:v>0.1466002047821246</x:v>
      </x:c>
    </x:row>
    <x:row r="700">
      <x:c r="A700" t="n">
        <x:v>651</x:v>
      </x:c>
      <x:c r="B700" s="40" t="n">
        <x:v>0.0797764121999886</x:v>
      </x:c>
      <x:c r="C700" s="40" t="n">
        <x:v>0.07387502003559689</x:v>
      </x:c>
      <x:c r="D700" s="40" t="n">
        <x:v>0.8165488959201074</x:v>
      </x:c>
      <x:c r="E700" s="40" t="n">
        <x:v>0.06174856835876646</x:v>
      </x:c>
      <x:c r="F700" s="40" t="n">
        <x:v>0.09141535790153876</x:v>
      </x:c>
      <x:c r="G700" s="40" t="n">
        <x:v>0.18298894395687884</x:v>
      </x:c>
      <x:c r="H700" s="40" t="n">
        <x:v>0.2633877103809497</x:v>
      </x:c>
    </x:row>
    <x:row r="701">
      <x:c r="A701" t="n">
        <x:v>652</x:v>
      </x:c>
      <x:c r="B701" s="40" t="n">
        <x:v>0.0944227832840988</x:v>
      </x:c>
      <x:c r="C701" s="40" t="n">
        <x:v>0.14842675453502022</x:v>
      </x:c>
      <x:c r="D701" s="40" t="n">
        <x:v>0.5050904559970303</x:v>
      </x:c>
      <x:c r="E701" s="40" t="n">
        <x:v>0.5609281348089818</x:v>
      </x:c>
      <x:c r="F701" s="40" t="n">
        <x:v>0.2011926496656932</x:v>
      </x:c>
      <x:c r="G701" s="40" t="n">
        <x:v>0.015894460844403827</x:v>
      </x:c>
      <x:c r="H701" s="40" t="n">
        <x:v>0.045402739939996765</x:v>
      </x:c>
    </x:row>
    <x:row r="702">
      <x:c r="A702" t="n">
        <x:v>653</x:v>
      </x:c>
      <x:c r="B702" s="40" t="n">
        <x:v>0.09742471099009624</x:v>
      </x:c>
      <x:c r="C702" s="40" t="n">
        <x:v>0.15346815186540855</x:v>
      </x:c>
      <x:c r="D702" s="40" t="n">
        <x:v>0.5080589287647803</x:v>
      </x:c>
      <x:c r="E702" s="40" t="n">
        <x:v>0.4381719488124061</x:v>
      </x:c>
      <x:c r="F702" s="40" t="n">
        <x:v>0.3150118116578271</x:v>
      </x:c>
      <x:c r="G702" s="40" t="n">
        <x:v>0.07828286717780969</x:v>
      </x:c>
      <x:c r="H702" s="40" t="n">
        <x:v>0.10533926352638681</x:v>
      </x:c>
    </x:row>
    <x:row r="703">
      <x:c r="A703" t="n">
        <x:v>654</x:v>
      </x:c>
      <x:c r="B703" s="40" t="n">
        <x:v>0.0801143260895416</x:v>
      </x:c>
      <x:c r="C703" s="40" t="n">
        <x:v>0.08686913887639457</x:v>
      </x:c>
      <x:c r="D703" s="40" t="n">
        <x:v>0.698297240197221</x:v>
      </x:c>
      <x:c r="E703" s="40" t="n">
        <x:v>0.12251062025459036</x:v>
      </x:c>
      <x:c r="F703" s="40" t="n">
        <x:v>0.14592841961967853</x:v>
      </x:c>
      <x:c r="G703" s="40" t="n">
        <x:v>0.03162875224989267</x:v>
      </x:c>
      <x:c r="H703" s="40" t="n">
        <x:v>0.4605693746937797</x:v>
      </x:c>
    </x:row>
    <x:row r="704">
      <x:c r="A704" t="n">
        <x:v>655</x:v>
      </x:c>
      <x:c r="B704" s="40" t="n">
        <x:v>0.0814845590285033</x:v>
      </x:c>
      <x:c r="C704" s="40" t="n">
        <x:v>0.08514154646756368</x:v>
      </x:c>
      <x:c r="D704" s="40" t="n">
        <x:v>0.7285598564772245</x:v>
      </x:c>
      <x:c r="E704" s="40" t="n">
        <x:v>0.024034418711013895</x:v>
      </x:c>
      <x:c r="F704" s="40" t="n">
        <x:v>0.02212208132191973</x:v>
      </x:c>
      <x:c r="G704" s="40" t="n">
        <x:v>0.21215813768991607</x:v>
      </x:c>
      <x:c r="H704" s="40" t="n">
        <x:v>0.38452227109096193</x:v>
      </x:c>
    </x:row>
    <x:row r="705">
      <x:c r="A705" t="n">
        <x:v>656</x:v>
      </x:c>
      <x:c r="B705" s="40" t="n">
        <x:v>0.07848112436204795</x:v>
      </x:c>
      <x:c r="C705" s="40" t="n">
        <x:v>0.1003946160367577</x:v>
      </x:c>
      <x:c r="D705" s="40" t="n">
        <x:v>0.5879526267284094</x:v>
      </x:c>
      <x:c r="E705" s="40" t="n">
        <x:v>0.10543102045050558</x:v>
      </x:c>
      <x:c r="F705" s="40" t="n">
        <x:v>0.30785360146845125</x:v>
      </x:c>
      <x:c r="G705" s="40" t="n">
        <x:v>0.3671801450198398</x:v>
      </x:c>
      <x:c r="H705" s="40" t="n">
        <x:v>0.16709965081919484</x:v>
      </x:c>
    </x:row>
    <x:row r="706">
      <x:c r="A706" t="n">
        <x:v>657</x:v>
      </x:c>
      <x:c r="B706" s="40" t="n">
        <x:v>0.061249730783294085</x:v>
      </x:c>
      <x:c r="C706" s="40" t="n">
        <x:v>0.048848557890002614</x:v>
      </x:c>
      <x:c r="D706" s="40" t="n">
        <x:v>0.8556216689869142</x:v>
      </x:c>
      <x:c r="E706" s="40" t="n">
        <x:v>0.04850832319550424</x:v>
      </x:c>
      <x:c r="F706" s="40" t="n">
        <x:v>0.056411453052130946</x:v>
      </x:c>
      <x:c r="G706" s="40" t="n">
        <x:v>0.41668069478426784</x:v>
      </x:c>
      <x:c r="H706" s="40" t="n">
        <x:v>0.07008472987486744</x:v>
      </x:c>
    </x:row>
    <x:row r="707">
      <x:c r="A707" t="n">
        <x:v>658</x:v>
      </x:c>
      <x:c r="B707" s="40" t="n">
        <x:v>0.08843511025804977</x:v>
      </x:c>
      <x:c r="C707" s="40" t="n">
        <x:v>0.13324652052329708</x:v>
      </x:c>
      <x:c r="D707" s="40" t="n">
        <x:v>0.5176965509740481</x:v>
      </x:c>
      <x:c r="E707" s="40" t="n">
        <x:v>0.02096178961020283</x:v>
      </x:c>
      <x:c r="F707" s="40" t="n">
        <x:v>0.48920605534981043</x:v>
      </x:c>
      <x:c r="G707" s="40" t="n">
        <x:v>0.33674805201877656</x:v>
      </x:c>
      <x:c r="H707" s="40" t="n">
        <x:v>0.0746153405602857</x:v>
      </x:c>
    </x:row>
    <x:row r="708">
      <x:c r="A708" t="n">
        <x:v>659</x:v>
      </x:c>
      <x:c r="B708" s="40" t="n">
        <x:v>0.10107627941839373</x:v>
      </x:c>
      <x:c r="C708" s="40" t="n">
        <x:v>0.11108472416765554</x:v>
      </x:c>
      <x:c r="D708" s="40" t="n">
        <x:v>0.7347763959098305</x:v>
      </x:c>
      <x:c r="E708" s="40" t="n">
        <x:v>0.11322602218600156</x:v>
      </x:c>
      <x:c r="F708" s="40" t="n">
        <x:v>0.07830451422723783</x:v>
      </x:c>
      <x:c r="G708" s="40" t="n">
        <x:v>0.02878666379398585</x:v>
      </x:c>
      <x:c r="H708" s="40" t="n">
        <x:v>0.07427381137049002</x:v>
      </x:c>
    </x:row>
    <x:row r="709">
      <x:c r="A709" t="n">
        <x:v>660</x:v>
      </x:c>
      <x:c r="B709" s="40" t="n">
        <x:v>0.09651264422669822</x:v>
      </x:c>
      <x:c r="C709" s="40" t="n">
        <x:v>0.10824870731450695</x:v>
      </x:c>
      <x:c r="D709" s="40" t="n">
        <x:v>0.7118680673845335</x:v>
      </x:c>
      <x:c r="E709" s="40" t="n">
        <x:v>0.3642752746439084</x:v>
      </x:c>
      <x:c r="F709" s="40" t="n">
        <x:v>0.0582609365097754</x:v>
      </x:c>
      <x:c r="G709" s="40" t="n">
        <x:v>0.03232429259420646</x:v>
      </x:c>
      <x:c r="H709" s="40" t="n">
        <x:v>0.04288438887190967</x:v>
      </x:c>
    </x:row>
    <x:row r="710">
      <x:c r="A710" t="n">
        <x:v>661</x:v>
      </x:c>
      <x:c r="B710" s="40" t="n">
        <x:v>0.06239450461172047</x:v>
      </x:c>
      <x:c r="C710" s="40" t="n">
        <x:v>0.06453690075427022</x:v>
      </x:c>
      <x:c r="D710" s="40" t="n">
        <x:v>0.6653659837396678</x:v>
      </x:c>
      <x:c r="E710" s="40" t="n">
        <x:v>0.16160336533749853</x:v>
      </x:c>
      <x:c r="F710" s="40" t="n">
        <x:v>0.0983789022946182</x:v>
      </x:c>
      <x:c r="G710" s="40" t="n">
        <x:v>0.6036428780636635</x:v>
      </x:c>
      <x:c r="H710" s="40" t="n">
        <x:v>0.0988648046860182</x:v>
      </x:c>
    </x:row>
    <x:row r="711">
      <x:c r="A711" t="n">
        <x:v>662</x:v>
      </x:c>
      <x:c r="B711" s="40" t="n">
        <x:v>0.09956379299848354</x:v>
      </x:c>
      <x:c r="C711" s="40" t="n">
        <x:v>0.11580223814984283</x:v>
      </x:c>
      <x:c r="D711" s="40" t="n">
        <x:v>0.691782370742945</x:v>
      </x:c>
      <x:c r="E711" s="40" t="n">
        <x:v>0.08950460550929543</x:v>
      </x:c>
      <x:c r="F711" s="40" t="n">
        <x:v>0.005230948133848812</x:v>
      </x:c>
      <x:c r="G711" s="40" t="n">
        <x:v>0.06115105305036819</x:v>
      </x:c>
      <x:c r="H711" s="40" t="n">
        <x:v>0.23872356903387196</x:v>
      </x:c>
    </x:row>
    <x:row r="712">
      <x:c r="A712" t="n">
        <x:v>663</x:v>
      </x:c>
      <x:c r="B712" s="40" t="n">
        <x:v>0.07892581660198707</x:v>
      </x:c>
      <x:c r="C712" s="40" t="n">
        <x:v>0.07060951820945045</x:v>
      </x:c>
      <x:c r="D712" s="40" t="n">
        <x:v>0.8422656315502394</x:v>
      </x:c>
      <x:c r="E712" s="40" t="n">
        <x:v>0.09205136102191742</x:v>
      </x:c>
      <x:c r="F712" s="40" t="n">
        <x:v>0.10521057391689508</x:v>
      </x:c>
      <x:c r="G712" s="40" t="n">
        <x:v>0.23914651611329366</x:v>
      </x:c>
      <x:c r="H712" s="40" t="n">
        <x:v>0.02837647673772902</x:v>
      </x:c>
    </x:row>
    <x:row r="713">
      <x:c r="A713" t="n">
        <x:v>664</x:v>
      </x:c>
      <x:c r="B713" s="40" t="n">
        <x:v>0.06438693945558041</x:v>
      </x:c>
      <x:c r="C713" s="40" t="n">
        <x:v>0.062074538980810876</x:v>
      </x:c>
      <x:c r="D713" s="40" t="n">
        <x:v>0.723857060229226</x:v>
      </x:c>
      <x:c r="E713" s="40" t="n">
        <x:v>0.2529114399857575</x:v>
      </x:c>
      <x:c r="F713" s="40" t="n">
        <x:v>0.020066158242489005</x:v>
      </x:c>
      <x:c r="G713" s="40" t="n">
        <x:v>0.3131872214768978</x:v>
      </x:c>
      <x:c r="H713" s="40" t="n">
        <x:v>0.24895797336161696</x:v>
      </x:c>
    </x:row>
    <x:row r="714">
      <x:c r="A714" t="n">
        <x:v>665</x:v>
      </x:c>
      <x:c r="B714" s="40" t="n">
        <x:v>0.08477758320075504</x:v>
      </x:c>
      <x:c r="C714" s="40" t="n">
        <x:v>0.11220893557313726</x:v>
      </x:c>
      <x:c r="D714" s="40" t="n">
        <x:v>0.5821616318990138</x:v>
      </x:c>
      <x:c r="E714" s="40" t="n">
        <x:v>0.10066107719245743</x:v>
      </x:c>
      <x:c r="F714" s="40" t="n">
        <x:v>0.2910010317511923</x:v>
      </x:c>
      <x:c r="G714" s="40" t="n">
        <x:v>0.002538292492327205</x:v>
      </x:c>
      <x:c r="H714" s="40" t="n">
        <x:v>0.28765982232311577</x:v>
      </x:c>
    </x:row>
    <x:row r="715">
      <x:c r="A715" t="n">
        <x:v>666</x:v>
      </x:c>
      <x:c r="B715" s="40" t="n">
        <x:v>0.09809655204787457</x:v>
      </x:c>
      <x:c r="C715" s="40" t="n">
        <x:v>0.11544218195281138</x:v>
      </x:c>
      <x:c r="D715" s="40" t="n">
        <x:v>0.6812302449911657</x:v>
      </x:c>
      <x:c r="E715" s="40" t="n">
        <x:v>0.1183924948937254</x:v>
      </x:c>
      <x:c r="F715" s="40" t="n">
        <x:v>0.2710134062555425</x:v>
      </x:c>
      <x:c r="G715" s="40" t="n">
        <x:v>0.05759666901569946</x:v>
      </x:c>
      <x:c r="H715" s="40" t="n">
        <x:v>0.02287208779347895</x:v>
      </x:c>
    </x:row>
    <x:row r="716">
      <x:c r="A716" t="n">
        <x:v>667</x:v>
      </x:c>
      <x:c r="B716" s="40" t="n">
        <x:v>0.07446502306523588</x:v>
      </x:c>
      <x:c r="C716" s="40" t="n">
        <x:v>0.07104954898110384</x:v>
      </x:c>
      <x:c r="D716" s="40" t="n">
        <x:v>0.7742649700143819</x:v>
      </x:c>
      <x:c r="E716" s="40" t="n">
        <x:v>0.007233387732672285</x:v>
      </x:c>
      <x:c r="F716" s="40" t="n">
        <x:v>0.14121738184493718</x:v>
      </x:c>
      <x:c r="G716" s="40" t="n">
        <x:v>0.00017534223969887307</x:v>
      </x:c>
      <x:c r="H716" s="40" t="n">
        <x:v>0.16697623738759512</x:v>
      </x:c>
    </x:row>
    <x:row r="717">
      <x:c r="A717" t="n">
        <x:v>668</x:v>
      </x:c>
      <x:c r="B717" s="40" t="n">
        <x:v>0.08109538801233396</x:v>
      </x:c>
      <x:c r="C717" s="40" t="n">
        <x:v>0.0826433232250844</x:v>
      </x:c>
      <x:c r="D717" s="40" t="n">
        <x:v>0.7458744330815824</x:v>
      </x:c>
      <x:c r="E717" s="40" t="n">
        <x:v>0.16450635034505026</x:v>
      </x:c>
      <x:c r="F717" s="40" t="n">
        <x:v>0.14730809459034086</x:v>
      </x:c>
      <x:c r="G717" s="40" t="n">
        <x:v>0.11782356129676633</x:v>
      </x:c>
      <x:c r="H717" s="40" t="n">
        <x:v>0.08013797027740145</x:v>
      </x:c>
    </x:row>
    <x:row r="718">
      <x:c r="A718" t="n">
        <x:v>669</x:v>
      </x:c>
      <x:c r="B718" s="40" t="n">
        <x:v>0.0689297328356037</x:v>
      </x:c>
      <x:c r="C718" s="40" t="n">
        <x:v>0.06554682542596278</x:v>
      </x:c>
      <x:c r="D718" s="40" t="n">
        <x:v>0.7548174356306872</x:v>
      </x:c>
      <x:c r="E718" s="40" t="n">
        <x:v>0.03277425216014782</x:v>
      </x:c>
      <x:c r="F718" s="40" t="n">
        <x:v>0.03952706823225311</x:v>
      </x:c>
      <x:c r="G718" s="40" t="n">
        <x:v>0.06311606622255621</x:v>
      </x:c>
      <x:c r="H718" s="40" t="n">
        <x:v>0.6862454238470649</x:v>
      </x:c>
    </x:row>
    <x:row r="719">
      <x:c r="A719" t="n">
        <x:v>670</x:v>
      </x:c>
      <x:c r="B719" s="40" t="n">
        <x:v>0.0862854859114585</x:v>
      </x:c>
      <x:c r="C719" s="40" t="n">
        <x:v>0.09777093626508848</x:v>
      </x:c>
      <x:c r="D719" s="40" t="n">
        <x:v>0.6835532348428193</x:v>
      </x:c>
      <x:c r="E719" s="40" t="n">
        <x:v>0.250850427981638</x:v>
      </x:c>
      <x:c r="F719" s="40" t="n">
        <x:v>0.14988537374627114</x:v>
      </x:c>
      <x:c r="G719" s="40" t="n">
        <x:v>0.13678048921570984</x:v>
      </x:c>
      <x:c r="H719" s="40" t="n">
        <x:v>0.26341336522662995</x:v>
      </x:c>
    </x:row>
    <x:row r="720">
      <x:c r="A720" t="n">
        <x:v>671</x:v>
      </x:c>
      <x:c r="B720" s="40" t="n">
        <x:v>0.09625232190469715</x:v>
      </x:c>
      <x:c r="C720" s="40" t="n">
        <x:v>0.11249046751567811</x:v>
      </x:c>
      <x:c r="D720" s="40" t="n">
        <x:v>0.682710966066057</x:v>
      </x:c>
      <x:c r="E720" s="40" t="n">
        <x:v>0.09374914636274922</x:v>
      </x:c>
      <x:c r="F720" s="40" t="n">
        <x:v>0.2503757507512087</x:v>
      </x:c>
      <x:c r="G720" s="40" t="n">
        <x:v>0.031638008220174305</x:v>
      </x:c>
      <x:c r="H720" s="40" t="n">
        <x:v>0.2555128790209513</x:v>
      </x:c>
    </x:row>
    <x:row r="721">
      <x:c r="A721" t="n">
        <x:v>672</x:v>
      </x:c>
      <x:c r="B721" s="40" t="n">
        <x:v>0.103225921694901</x:v>
      </x:c>
      <x:c r="C721" s="40" t="n">
        <x:v>0.1365280321706859</x:v>
      </x:c>
      <x:c r="D721" s="40" t="n">
        <x:v>0.6135888301409331</x:v>
      </x:c>
      <x:c r="E721" s="40" t="n">
        <x:v>0.3214053712642091</x:v>
      </x:c>
      <x:c r="F721" s="40" t="n">
        <x:v>0.276805418969995</x:v>
      </x:c>
      <x:c r="G721" s="40" t="n">
        <x:v>0.08383669110101552</x:v>
      </x:c>
      <x:c r="H721" s="40" t="n">
        <x:v>0.03276461219780823</x:v>
      </x:c>
    </x:row>
    <x:row r="722">
      <x:c r="A722" t="n">
        <x:v>673</x:v>
      </x:c>
      <x:c r="B722" s="40" t="n">
        <x:v>0.08683007285734662</x:v>
      </x:c>
      <x:c r="C722" s="40" t="n">
        <x:v>0.12749812465881782</x:v>
      </x:c>
      <x:c r="D722" s="40" t="n">
        <x:v>0.5284487664724306</x:v>
      </x:c>
      <x:c r="E722" s="40" t="n">
        <x:v>0.16794403890097037</x:v>
      </x:c>
      <x:c r="F722" s="40" t="n">
        <x:v>0.3688726593069473</x:v>
      </x:c>
      <x:c r="G722" s="40" t="n">
        <x:v>0.13008086997595136</x:v>
      </x:c>
      <x:c r="H722" s="40" t="n">
        <x:v>0.029709946121346593</x:v>
      </x:c>
    </x:row>
    <x:row r="723">
      <x:c r="A723" t="n">
        <x:v>674</x:v>
      </x:c>
      <x:c r="B723" s="40" t="n">
        <x:v>0.09175756729702624</x:v>
      </x:c>
      <x:c r="C723" s="40" t="n">
        <x:v>0.14363846682290926</x:v>
      </x:c>
      <x:c r="D723" s="40" t="n">
        <x:v>0.5033729664653325</x:v>
      </x:c>
      <x:c r="E723" s="40" t="n">
        <x:v>0.2902925567429066</x:v>
      </x:c>
      <x:c r="F723" s="40" t="n">
        <x:v>0.3829327857748371</x:v>
      </x:c>
      <x:c r="G723" s="40" t="n">
        <x:v>0.1888960889877482</x:v>
      </x:c>
      <x:c r="H723" s="40" t="n">
        <x:v>0.1083197112858125</x:v>
      </x:c>
    </x:row>
    <x:row r="724">
      <x:c r="A724" t="n">
        <x:v>675</x:v>
      </x:c>
      <x:c r="B724" s="40" t="n">
        <x:v>0.08484756646641332</x:v>
      </x:c>
      <x:c r="C724" s="40" t="n">
        <x:v>0.12475899266327367</x:v>
      </x:c>
      <x:c r="D724" s="40" t="n">
        <x:v>0.5241603744674804</x:v>
      </x:c>
      <x:c r="E724" s="40" t="n">
        <x:v>0.1680734118237392</x:v>
      </x:c>
      <x:c r="F724" s="40" t="n">
        <x:v>0.357405428309617</x:v>
      </x:c>
      <x:c r="G724" s="40" t="n">
        <x:v>0.12722459602751887</x:v>
      </x:c>
      <x:c r="H724" s="40" t="n">
        <x:v>0.00445579808527972</x:v>
      </x:c>
    </x:row>
    <x:row r="725">
      <x:c r="A725" t="n">
        <x:v>676</x:v>
      </x:c>
      <x:c r="B725" s="40" t="n">
        <x:v>0.07703482917357056</x:v>
      </x:c>
      <x:c r="C725" s="40" t="n">
        <x:v>0.09367892310063367</x:v>
      </x:c>
      <x:c r="D725" s="40" t="n">
        <x:v>0.6146631612947621</x:v>
      </x:c>
      <x:c r="E725" s="40" t="n">
        <x:v>0.19685785404699754</x:v>
      </x:c>
      <x:c r="F725" s="40" t="n">
        <x:v>0.17868114224582857</x:v>
      </x:c>
      <x:c r="G725" s="40" t="n">
        <x:v>0.04357588673237055</x:v>
      </x:c>
      <x:c r="H725" s="40" t="n">
        <x:v>0.0365783653861058</x:v>
      </x:c>
    </x:row>
    <x:row r="726">
      <x:c r="A726" t="n">
        <x:v>677</x:v>
      </x:c>
      <x:c r="B726" s="40" t="n">
        <x:v>0.07648285766411067</x:v>
      </x:c>
      <x:c r="C726" s="40" t="n">
        <x:v>0.07591470611917948</x:v>
      </x:c>
      <x:c r="D726" s="40" t="n">
        <x:v>0.7512248209290823</x:v>
      </x:c>
      <x:c r="E726" s="40" t="n">
        <x:v>0.010155422748380332</x:v>
      </x:c>
      <x:c r="F726" s="40" t="n">
        <x:v>0.1442837588943561</x:v>
      </x:c>
      <x:c r="G726" s="40" t="n">
        <x:v>0.42473663879275547</x:v>
      </x:c>
      <x:c r="H726" s="40" t="n">
        <x:v>0.10099669157730651</x:v>
      </x:c>
    </x:row>
    <x:row r="727">
      <x:c r="A727" t="n">
        <x:v>678</x:v>
      </x:c>
      <x:c r="B727" s="40" t="n">
        <x:v>0.08448189332684154</x:v>
      </x:c>
      <x:c r="C727" s="40" t="n">
        <x:v>0.09954931475312795</x:v>
      </x:c>
      <x:c r="D727" s="40" t="n">
        <x:v>0.6532244579910796</x:v>
      </x:c>
      <x:c r="E727" s="40" t="n">
        <x:v>0.34307472056473726</x:v>
      </x:c>
      <x:c r="F727" s="40" t="n">
        <x:v>0.1445887237730988</x:v>
      </x:c>
      <x:c r="G727" s="40" t="n">
        <x:v>0.2623414970642366</x:v>
      </x:c>
      <x:c r="H727" s="40" t="n">
        <x:v>0.12653824220955778</x:v>
      </x:c>
    </x:row>
    <x:row r="728">
      <x:c r="A728" t="n">
        <x:v>679</x:v>
      </x:c>
      <x:c r="B728" s="40" t="n">
        <x:v>0.073871233904546</x:v>
      </x:c>
      <x:c r="C728" s="40" t="n">
        <x:v>0.07981243061408363</x:v>
      </x:c>
      <x:c r="D728" s="40" t="n">
        <x:v>0.6818159443586398</x:v>
      </x:c>
      <x:c r="E728" s="40" t="n">
        <x:v>0.3847050859158229</x:v>
      </x:c>
      <x:c r="F728" s="40" t="n">
        <x:v>0.009222068111832888</x:v>
      </x:c>
      <x:c r="G728" s="40" t="n">
        <x:v>0.25055690732005975</x:v>
      </x:c>
      <x:c r="H728" s="40" t="n">
        <x:v>0.2094465853951876</x:v>
      </x:c>
    </x:row>
    <x:row r="729">
      <x:c r="A729" t="n">
        <x:v>680</x:v>
      </x:c>
      <x:c r="B729" s="40" t="n">
        <x:v>0.10623946528751205</x:v>
      </x:c>
      <x:c r="C729" s="40" t="n">
        <x:v>0.2154334494033608</x:v>
      </x:c>
      <x:c r="D729" s="40" t="n">
        <x:v>0.4028418956017144</x:v>
      </x:c>
      <x:c r="E729" s="40" t="n">
        <x:v>0.04755205657764026</x:v>
      </x:c>
      <x:c r="F729" s="40" t="n">
        <x:v>0.762444691115539</x:v>
      </x:c>
      <x:c r="G729" s="40" t="n">
        <x:v>0.02225423611639017</x:v>
      </x:c>
      <x:c r="H729" s="40" t="n">
        <x:v>0.07549550222869617</x:v>
      </x:c>
    </x:row>
    <x:row r="730">
      <x:c r="A730" t="n">
        <x:v>681</x:v>
      </x:c>
      <x:c r="B730" s="40" t="n">
        <x:v>0.0707501979267827</x:v>
      </x:c>
      <x:c r="C730" s="40" t="n">
        <x:v>0.08136329927604073</x:v>
      </x:c>
      <x:c r="D730" s="40" t="n">
        <x:v>0.6304605667341949</x:v>
      </x:c>
      <x:c r="E730" s="40" t="n">
        <x:v>0.0054500667442955765</x:v>
      </x:c>
      <x:c r="F730" s="40" t="n">
        <x:v>0.27511492291831713</x:v>
      </x:c>
      <x:c r="G730" s="40" t="n">
        <x:v>0.45528078105088066</x:v>
      </x:c>
      <x:c r="H730" s="40" t="n">
        <x:v>0.1130205971976626</x:v>
      </x:c>
    </x:row>
    <x:row r="731">
      <x:c r="A731" t="n">
        <x:v>682</x:v>
      </x:c>
      <x:c r="B731" s="40" t="n">
        <x:v>0.0830925902112297</x:v>
      </x:c>
      <x:c r="C731" s="40" t="n">
        <x:v>0.1026992143186929</x:v>
      </x:c>
      <x:c r="D731" s="40" t="n">
        <x:v>0.6196614499883303</x:v>
      </x:c>
      <x:c r="E731" s="40" t="n">
        <x:v>0.011213229189994504</x:v>
      </x:c>
      <x:c r="F731" s="40" t="n">
        <x:v>0.2947470508286963</x:v>
      </x:c>
      <x:c r="G731" s="40" t="n">
        <x:v>0.007919679607693934</x:v>
      </x:c>
      <x:c r="H731" s="40" t="n">
        <x:v>0.1313917202534489</x:v>
      </x:c>
    </x:row>
    <x:row r="732">
      <x:c r="A732" t="n">
        <x:v>683</x:v>
      </x:c>
      <x:c r="B732" s="40" t="n">
        <x:v>0.08272472848919314</x:v>
      </x:c>
      <x:c r="C732" s="40" t="n">
        <x:v>0.10757382232167549</x:v>
      </x:c>
      <x:c r="D732" s="40" t="n">
        <x:v>0.5881624448199818</x:v>
      </x:c>
      <x:c r="E732" s="40" t="n">
        <x:v>0.17532852909449628</x:v>
      </x:c>
      <x:c r="F732" s="40" t="n">
        <x:v>0.23993854589612315</x:v>
      </x:c>
      <x:c r="G732" s="40" t="n">
        <x:v>0.016649536093490007</x:v>
      </x:c>
      <x:c r="H732" s="40" t="n">
        <x:v>0.25578933702318285</x:v>
      </x:c>
    </x:row>
    <x:row r="733">
      <x:c r="A733" t="n">
        <x:v>684</x:v>
      </x:c>
      <x:c r="B733" s="40" t="n">
        <x:v>0.09724787924834803</x:v>
      </x:c>
      <x:c r="C733" s="40" t="n">
        <x:v>0.12687501812069368</x:v>
      </x:c>
      <x:c r="D733" s="40" t="n">
        <x:v>0.6131548530735811</x:v>
      </x:c>
      <x:c r="E733" s="40" t="n">
        <x:v>0.48324457886429895</x:v>
      </x:c>
      <x:c r="F733" s="40" t="n">
        <x:v>0.14050352419563925</x:v>
      </x:c>
      <x:c r="G733" s="40" t="n">
        <x:v>0.10191383011713089</x:v>
      </x:c>
      <x:c r="H733" s="40" t="n">
        <x:v>0.04984060379241547</x:v>
      </x:c>
    </x:row>
    <x:row r="734">
      <x:c r="A734" t="n">
        <x:v>685</x:v>
      </x:c>
      <x:c r="B734" s="40" t="n">
        <x:v>0.08451380146449915</x:v>
      </x:c>
      <x:c r="C734" s="40" t="n">
        <x:v>0.10763677298040332</x:v>
      </x:c>
      <x:c r="D734" s="40" t="n">
        <x:v>0.6044398536780549</x:v>
      </x:c>
      <x:c r="E734" s="40" t="n">
        <x:v>0.2505766286805419</x:v>
      </x:c>
      <x:c r="F734" s="40" t="n">
        <x:v>0.20017345808712578</x:v>
      </x:c>
      <x:c r="G734" s="40" t="n">
        <x:v>0.04431721334767678</x:v>
      </x:c>
      <x:c r="H734" s="40" t="n">
        <x:v>0.2857312703672299</x:v>
      </x:c>
    </x:row>
    <x:row r="735">
      <x:c r="A735" t="n">
        <x:v>686</x:v>
      </x:c>
      <x:c r="B735" s="40" t="n">
        <x:v>0.07319807672298612</x:v>
      </x:c>
      <x:c r="C735" s="40" t="n">
        <x:v>0.0824062845199715</x:v>
      </x:c>
      <x:c r="D735" s="40" t="n">
        <x:v>0.6521860666599381</x:v>
      </x:c>
      <x:c r="E735" s="40" t="n">
        <x:v>0.322779181665188</x:v>
      </x:c>
      <x:c r="F735" s="40" t="n">
        <x:v>0.047841086914613924</x:v>
      </x:c>
      <x:c r="G735" s="40" t="n">
        <x:v>0.14939532125196625</x:v>
      </x:c>
      <x:c r="H735" s="40" t="n">
        <x:v>0.35056373237371136</x:v>
      </x:c>
    </x:row>
    <x:row r="736">
      <x:c r="A736" t="n">
        <x:v>687</x:v>
      </x:c>
      <x:c r="B736" s="40" t="n">
        <x:v>0.08239840734809584</x:v>
      </x:c>
      <x:c r="C736" s="40" t="n">
        <x:v>0.08163688717433762</x:v>
      </x:c>
      <x:c r="D736" s="40" t="n">
        <x:v>0.7710308828879032</x:v>
      </x:c>
      <x:c r="E736" s="40" t="n">
        <x:v>0.0726667741494565</x:v>
      </x:c>
      <x:c r="F736" s="40" t="n">
        <x:v>0.08538179594588466</x:v>
      </x:c>
      <x:c r="G736" s="40" t="n">
        <x:v>0.22050412099739744</x:v>
      </x:c>
      <x:c r="H736" s="40" t="n">
        <x:v>0.30765805705806487</x:v>
      </x:c>
    </x:row>
    <x:row r="737">
      <x:c r="A737" t="n">
        <x:v>688</x:v>
      </x:c>
      <x:c r="B737" s="40" t="n">
        <x:v>0.09220245327537667</x:v>
      </x:c>
      <x:c r="C737" s="40" t="n">
        <x:v>0.09757787772817351</x:v>
      </x:c>
      <x:c r="D737" s="40" t="n">
        <x:v>0.7455440599373265</x:v>
      </x:c>
      <x:c r="E737" s="40" t="n">
        <x:v>0.08129510851492623</x:v>
      </x:c>
      <x:c r="F737" s="40" t="n">
        <x:v>0.17677403468571085</x:v>
      </x:c>
      <x:c r="G737" s="40" t="n">
        <x:v>0.030791383393799013</x:v>
      </x:c>
      <x:c r="H737" s="40" t="n">
        <x:v>0.21427021874166766</x:v>
      </x:c>
    </x:row>
    <x:row r="738">
      <x:c r="A738" t="n">
        <x:v>689</x:v>
      </x:c>
      <x:c r="B738" s="40" t="n">
        <x:v>0.10297811856786901</x:v>
      </x:c>
      <x:c r="C738" s="40" t="n">
        <x:v>0.11472202089099763</x:v>
      </x:c>
      <x:c r="D738" s="40" t="n">
        <x:v>0.7280578895431322</x:v>
      </x:c>
      <x:c r="E738" s="40" t="n">
        <x:v>0.07899469847528082</x:v>
      </x:c>
      <x:c r="F738" s="40" t="n">
        <x:v>0.0986941018984185</x:v>
      </x:c>
      <x:c r="G738" s="40" t="n">
        <x:v>0.012912404676563197</x:v>
      </x:c>
      <x:c r="H738" s="40" t="n">
        <x:v>0.029000773267241438</x:v>
      </x:c>
    </x:row>
    <x:row r="739">
      <x:c r="A739" t="n">
        <x:v>690</x:v>
      </x:c>
      <x:c r="B739" s="40" t="n">
        <x:v>0.06054855264075869</x:v>
      </x:c>
      <x:c r="C739" s="40" t="n">
        <x:v>0.06629769473889403</x:v>
      </x:c>
      <x:c r="D739" s="40" t="n">
        <x:v>0.6198512127572366</x:v>
      </x:c>
      <x:c r="E739" s="40" t="n">
        <x:v>0.021497991006118322</x:v>
      </x:c>
      <x:c r="F739" s="40" t="n">
        <x:v>0.13560886259583316</x:v>
      </x:c>
      <x:c r="G739" s="40" t="n">
        <x:v>0.13320169974722018</x:v>
      </x:c>
      <x:c r="H739" s="40" t="n">
        <x:v>0.012970156265737299</x:v>
      </x:c>
    </x:row>
    <x:row r="740">
      <x:c r="A740" t="n">
        <x:v>691</x:v>
      </x:c>
      <x:c r="B740" s="40" t="n">
        <x:v>0.07706089213879845</x:v>
      </x:c>
      <x:c r="C740" s="40" t="n">
        <x:v>0.08357698260752454</x:v>
      </x:c>
      <x:c r="D740" s="40" t="n">
        <x:v>0.6892692723243381</x:v>
      </x:c>
      <x:c r="E740" s="40" t="n">
        <x:v>0.10752980421854365</x:v>
      </x:c>
      <x:c r="F740" s="40" t="n">
        <x:v>0.15919111295361085</x:v>
      </x:c>
      <x:c r="G740" s="40" t="n">
        <x:v>0.009225680024383592</x:v>
      </x:c>
      <x:c r="H740" s="40" t="n">
        <x:v>0.3013955864077401</x:v>
      </x:c>
    </x:row>
    <x:row r="741">
      <x:c r="A741" t="n">
        <x:v>692</x:v>
      </x:c>
      <x:c r="B741" s="40" t="n">
        <x:v>0.08374515103564154</x:v>
      </x:c>
      <x:c r="C741" s="40" t="n">
        <x:v>0.10793108609646448</x:v>
      </x:c>
      <x:c r="D741" s="40" t="n">
        <x:v>0.5956699520686226</x:v>
      </x:c>
      <x:c r="E741" s="40" t="n">
        <x:v>0.05289713678538426</x:v>
      </x:c>
      <x:c r="F741" s="40" t="n">
        <x:v>0.27825132195950897</x:v>
      </x:c>
      <x:c r="G741" s="40" t="n">
        <x:v>0.025498608633819118</x:v>
      </x:c>
      <x:c r="H741" s="40" t="n">
        <x:v>0.4879508225219683</x:v>
      </x:c>
    </x:row>
    <x:row r="742">
      <x:c r="A742" t="n">
        <x:v>693</x:v>
      </x:c>
      <x:c r="B742" s="40" t="n">
        <x:v>0.0878944153167027</x:v>
      </x:c>
      <x:c r="C742" s="40" t="n">
        <x:v>0.08779829670952952</x:v>
      </x:c>
      <x:c r="D742" s="40" t="n">
        <x:v>0.7795204659753734</x:v>
      </x:c>
      <x:c r="E742" s="40" t="n">
        <x:v>0.20678021375761618</x:v>
      </x:c>
      <x:c r="F742" s="40" t="n">
        <x:v>0.09323676205115346</x:v>
      </x:c>
      <x:c r="G742" s="40" t="n">
        <x:v>0.11019102994139884</x:v>
      </x:c>
      <x:c r="H742" s="40" t="n">
        <x:v>0.06060412432499993</x:v>
      </x:c>
    </x:row>
    <x:row r="743">
      <x:c r="A743" t="n">
        <x:v>694</x:v>
      </x:c>
      <x:c r="B743" s="40" t="n">
        <x:v>0.08917514692217487</x:v>
      </x:c>
      <x:c r="C743" s="40" t="n">
        <x:v>0.09023524373191208</x:v>
      </x:c>
      <x:c r="D743" s="40" t="n">
        <x:v>0.7726615220929633</x:v>
      </x:c>
      <x:c r="E743" s="40" t="n">
        <x:v>0.092300390345735</x:v>
      </x:c>
      <x:c r="F743" s="40" t="n">
        <x:v>0.1597953171835611</x:v>
      </x:c>
      <x:c r="G743" s="40" t="n">
        <x:v>0.1665774593027416</x:v>
      </x:c>
      <x:c r="H743" s="40" t="n">
        <x:v>0.052150675546951866</x:v>
      </x:c>
    </x:row>
    <x:row r="744">
      <x:c r="A744" t="n">
        <x:v>695</x:v>
      </x:c>
      <x:c r="B744" s="40" t="n">
        <x:v>0.10854324125899387</x:v>
      </x:c>
      <x:c r="C744" s="40" t="n">
        <x:v>0.15516570861977905</x:v>
      </x:c>
      <x:c r="D744" s="40" t="n">
        <x:v>0.5741564672865577</x:v>
      </x:c>
      <x:c r="E744" s="40" t="n">
        <x:v>0.08165902243061299</x:v>
      </x:c>
      <x:c r="F744" s="40" t="n">
        <x:v>0.46074478774120353</x:v>
      </x:c>
      <x:c r="G744" s="40" t="n">
        <x:v>0.00809978674852973</x:v>
      </x:c>
      <x:c r="H744" s="40" t="n">
        <x:v>0.10825469355411294</x:v>
      </x:c>
    </x:row>
    <x:row r="745">
      <x:c r="A745" t="n">
        <x:v>696</x:v>
      </x:c>
      <x:c r="B745" s="40" t="n">
        <x:v>0.059546949871460725</x:v>
      </x:c>
      <x:c r="C745" s="40" t="n">
        <x:v>0.05493730125592176</x:v>
      </x:c>
      <x:c r="D745" s="40" t="n">
        <x:v>0.7297974745946023</x:v>
      </x:c>
      <x:c r="E745" s="40" t="n">
        <x:v>0.04179151228668874</x:v>
      </x:c>
      <x:c r="F745" s="40" t="n">
        <x:v>0.03646059019145274</x:v>
      </x:c>
      <x:c r="G745" s="40" t="n">
        <x:v>0.071103355328602</x:v>
      </x:c>
      <x:c r="H745" s="40" t="n">
        <x:v>0.022603778617949755</x:v>
      </x:c>
    </x:row>
    <x:row r="746">
      <x:c r="A746" t="n">
        <x:v>697</x:v>
      </x:c>
      <x:c r="B746" s="40" t="n">
        <x:v>0.0898920022595687</x:v>
      </x:c>
      <x:c r="C746" s="40" t="n">
        <x:v>0.0968223967141242</x:v>
      </x:c>
      <x:c r="D746" s="40" t="n">
        <x:v>0.7274985798347544</x:v>
      </x:c>
      <x:c r="E746" s="40" t="n">
        <x:v>0.19451079144977537</x:v>
      </x:c>
      <x:c r="F746" s="40" t="n">
        <x:v>0.15261637345605392</x:v>
      </x:c>
      <x:c r="G746" s="40" t="n">
        <x:v>0.01753604682634786</x:v>
      </x:c>
      <x:c r="H746" s="40" t="n">
        <x:v>0.018114428203560975</x:v>
      </x:c>
    </x:row>
    <x:row r="747">
      <x:c r="A747" t="n">
        <x:v>698</x:v>
      </x:c>
      <x:c r="B747" s="40" t="n">
        <x:v>0.08677640162070427</x:v>
      </x:c>
      <x:c r="C747" s="40" t="n">
        <x:v>0.10245663912320314</x:v>
      </x:c>
      <x:c r="D747" s="40" t="n">
        <x:v>0.657083387108798</x:v>
      </x:c>
      <x:c r="E747" s="40" t="n">
        <x:v>0.11418597872531051</x:v>
      </x:c>
      <x:c r="F747" s="40" t="n">
        <x:v>0.2523007015108081</x:v>
      </x:c>
      <x:c r="G747" s="40" t="n">
        <x:v>0.041868443219258304</x:v>
      </x:c>
      <x:c r="H747" s="40" t="n">
        <x:v>0.021484105258226416</x:v>
      </x:c>
    </x:row>
    <x:row r="748">
      <x:c r="A748" t="n">
        <x:v>699</x:v>
      </x:c>
      <x:c r="B748" s="40" t="n">
        <x:v>0.10366710438569691</x:v>
      </x:c>
      <x:c r="C748" s="40" t="n">
        <x:v>0.12375159854904061</x:v>
      </x:c>
      <x:c r="D748" s="40" t="n">
        <x:v>0.6805023871952531</x:v>
      </x:c>
      <x:c r="E748" s="40" t="n">
        <x:v>0.39311414390157234</x:v>
      </x:c>
      <x:c r="F748" s="40" t="n">
        <x:v>0.09869213723775555</x:v>
      </x:c>
      <x:c r="G748" s="40" t="n">
        <x:v>0.005348181345381143</x:v>
      </x:c>
      <x:c r="H748" s="40" t="n">
        <x:v>0.002062305153962695</x:v>
      </x:c>
    </x:row>
    <x:row r="749">
      <x:c r="A749" t="n">
        <x:v>700</x:v>
      </x:c>
      <x:c r="B749" s="40" t="n">
        <x:v>0.07064657195413598</x:v>
      </x:c>
      <x:c r="C749" s="40" t="n">
        <x:v>0.06204826001529931</x:v>
      </x:c>
      <x:c r="D749" s="40" t="n">
        <x:v>0.8250469197309832</x:v>
      </x:c>
      <x:c r="E749" s="40" t="n">
        <x:v>0.04727711384574695</x:v>
      </x:c>
      <x:c r="F749" s="40" t="n">
        <x:v>0.11621124255373665</x:v>
      </x:c>
      <x:c r="G749" s="40" t="n">
        <x:v>0.22436837526522166</x:v>
      </x:c>
      <x:c r="H749" s="40" t="n">
        <x:v>0.22558617536903228</x:v>
      </x:c>
    </x:row>
    <x:row r="750">
      <x:c r="A750" t="n">
        <x:v>701</x:v>
      </x:c>
      <x:c r="B750" s="40" t="n">
        <x:v>0.08982708771830557</x:v>
      </x:c>
      <x:c r="C750" s="40" t="n">
        <x:v>0.09310516166374029</x:v>
      </x:c>
      <x:c r="D750" s="40" t="n">
        <x:v>0.7558468328385514</x:v>
      </x:c>
      <x:c r="E750" s="40" t="n">
        <x:v>0.12264902634457515</x:v>
      </x:c>
      <x:c r="F750" s="40" t="n">
        <x:v>0.040434996841877416</x:v>
      </x:c>
      <x:c r="G750" s="40" t="n">
        <x:v>0.08789372609369119</x:v>
      </x:c>
      <x:c r="H750" s="40" t="n">
        <x:v>0.36279856780980313</x:v>
      </x:c>
    </x:row>
    <x:row r="751">
      <x:c r="A751" t="n">
        <x:v>702</x:v>
      </x:c>
      <x:c r="B751" s="40" t="n">
        <x:v>0.09708317466664634</x:v>
      </x:c>
      <x:c r="C751" s="40" t="n">
        <x:v>0.1719411255259532</x:v>
      </x:c>
      <x:c r="D751" s="40" t="n">
        <x:v>0.45148784664133557</x:v>
      </x:c>
      <x:c r="E751" s="40" t="n">
        <x:v>0.16857088539948709</x:v>
      </x:c>
      <x:c r="F751" s="40" t="n">
        <x:v>0.5257380129824071</x:v>
      </x:c>
      <x:c r="G751" s="40" t="n">
        <x:v>0.02768506096872096</x:v>
      </x:c>
      <x:c r="H751" s="40" t="n">
        <x:v>0.1776748257730916</x:v>
      </x:c>
    </x:row>
    <x:row r="752">
      <x:c r="A752" t="n">
        <x:v>703</x:v>
      </x:c>
      <x:c r="B752" s="40" t="n">
        <x:v>0.08118821678532845</x:v>
      </x:c>
      <x:c r="C752" s="40" t="n">
        <x:v>0.08658792152533586</x:v>
      </x:c>
      <x:c r="D752" s="40" t="n">
        <x:v>0.7129674617887514</x:v>
      </x:c>
      <x:c r="E752" s="40" t="n">
        <x:v>0.16823236838969743</x:v>
      </x:c>
      <x:c r="F752" s="40" t="n">
        <x:v>0.16296938292155</x:v>
      </x:c>
      <x:c r="G752" s="40" t="n">
        <x:v>0.08606944346533832</x:v>
      </x:c>
      <x:c r="H752" s="40" t="n">
        <x:v>0.08206314768183758</x:v>
      </x:c>
    </x:row>
    <x:row r="753">
      <x:c r="A753" t="n">
        <x:v>704</x:v>
      </x:c>
      <x:c r="B753" s="40" t="n">
        <x:v>0.09142138912254341</x:v>
      </x:c>
      <x:c r="C753" s="40" t="n">
        <x:v>0.11017247997351738</x:v>
      </x:c>
      <x:c r="D753" s="40" t="n">
        <x:v>0.6532261322064856</x:v>
      </x:c>
      <x:c r="E753" s="40" t="n">
        <x:v>0.24064331396680197</x:v>
      </x:c>
      <x:c r="F753" s="40" t="n">
        <x:v>0.1835952270411772</x:v>
      </x:c>
      <x:c r="G753" s="40" t="n">
        <x:v>0.010511784462632765</x:v>
      </x:c>
      <x:c r="H753" s="40" t="n">
        <x:v>0.32801870147337553</x:v>
      </x:c>
    </x:row>
    <x:row r="754">
      <x:c r="A754" t="n">
        <x:v>705</x:v>
      </x:c>
      <x:c r="B754" s="40" t="n">
        <x:v>0.07765442402683406</x:v>
      </x:c>
      <x:c r="C754" s="40" t="n">
        <x:v>0.0700657766918957</x:v>
      </x:c>
      <x:c r="D754" s="40" t="n">
        <x:v>0.8306562864337703</x:v>
      </x:c>
      <x:c r="E754" s="40" t="n">
        <x:v>0.06137156998598081</x:v>
      </x:c>
      <x:c r="F754" s="40" t="n">
        <x:v>0.12453672314624635</x:v>
      </x:c>
      <x:c r="G754" s="40" t="n">
        <x:v>0.12484085151166824</x:v>
      </x:c>
      <x:c r="H754" s="40" t="n">
        <x:v>0.1194777499466829</x:v>
      </x:c>
    </x:row>
    <x:row r="755">
      <x:c r="A755" t="n">
        <x:v>706</x:v>
      </x:c>
      <x:c r="B755" s="40" t="n">
        <x:v>0.0996283882713063</x:v>
      </x:c>
      <x:c r="C755" s="40" t="n">
        <x:v>0.12049696228004547</x:v>
      </x:c>
      <x:c r="D755" s="40" t="n">
        <x:v>0.6653656706392937</x:v>
      </x:c>
      <x:c r="E755" s="40" t="n">
        <x:v>0.0019213244641041844</x:v>
      </x:c>
      <x:c r="F755" s="40" t="n">
        <x:v>0.0850620310760837</x:v>
      </x:c>
      <x:c r="G755" s="40" t="n">
        <x:v>0.22255116713162912</x:v>
      </x:c>
      <x:c r="H755" s="40" t="n">
        <x:v>0.05298740028108201</x:v>
      </x:c>
    </x:row>
    <x:row r="756">
      <x:c r="A756" t="n">
        <x:v>707</x:v>
      </x:c>
      <x:c r="B756" s="40" t="n">
        <x:v>0.09651904348917614</x:v>
      </x:c>
      <x:c r="C756" s="40" t="n">
        <x:v>0.15689309952469377</x:v>
      </x:c>
      <x:c r="D756" s="40" t="n">
        <x:v>0.49119558201602437</x:v>
      </x:c>
      <x:c r="E756" s="40" t="n">
        <x:v>0.19251673077273496</x:v>
      </x:c>
      <x:c r="F756" s="40" t="n">
        <x:v>0.44579077573579906</x:v>
      </x:c>
      <x:c r="G756" s="40" t="n">
        <x:v>0.023092889863074628</x:v>
      </x:c>
      <x:c r="H756" s="40" t="n">
        <x:v>0.22914058850443625</x:v>
      </x:c>
    </x:row>
    <x:row r="757">
      <x:c r="A757" t="n">
        <x:v>708</x:v>
      </x:c>
      <x:c r="B757" s="40" t="n">
        <x:v>0.09128561199657678</x:v>
      </x:c>
      <x:c r="C757" s="40" t="n">
        <x:v>0.09390909799434459</x:v>
      </x:c>
      <x:c r="D757" s="40" t="n">
        <x:v>0.7649074198013965</x:v>
      </x:c>
      <x:c r="E757" s="40" t="n">
        <x:v>0.13991668700214618</x:v>
      </x:c>
      <x:c r="F757" s="40" t="n">
        <x:v>0.009341551233328875</x:v>
      </x:c>
      <x:c r="G757" s="40" t="n">
        <x:v>0.08983135870571439</x:v>
      </x:c>
      <x:c r="H757" s="40" t="n">
        <x:v>0.16908076792900645</x:v>
      </x:c>
    </x:row>
    <x:row r="758">
      <x:c r="A758" t="n">
        <x:v>709</x:v>
      </x:c>
      <x:c r="B758" s="40" t="n">
        <x:v>0.08626594054419068</x:v>
      </x:c>
      <x:c r="C758" s="40" t="n">
        <x:v>0.12372607027152009</x:v>
      </x:c>
      <x:c r="D758" s="40" t="n">
        <x:v>0.5400001329042751</x:v>
      </x:c>
      <x:c r="E758" s="40" t="n">
        <x:v>0.13786674633588572</x:v>
      </x:c>
      <x:c r="F758" s="40" t="n">
        <x:v>0.35559920821328006</x:v>
      </x:c>
      <x:c r="G758" s="40" t="n">
        <x:v>0.08255874587128054</x:v>
      </x:c>
      <x:c r="H758" s="40" t="n">
        <x:v>0.0167244818737522</x:v>
      </x:c>
    </x:row>
    <x:row r="759">
      <x:c r="A759" t="n">
        <x:v>710</x:v>
      </x:c>
      <x:c r="B759" s="40" t="n">
        <x:v>0.09036216413803103</x:v>
      </x:c>
      <x:c r="C759" s="40" t="n">
        <x:v>0.14415337951373614</x:v>
      </x:c>
      <x:c r="D759" s="40" t="n">
        <x:v>0.4918949401212487</x:v>
      </x:c>
      <x:c r="E759" s="40" t="n">
        <x:v>0.76828841010633</x:v>
      </x:c>
      <x:c r="F759" s="40" t="n">
        <x:v>0.01071539539472079</x:v>
      </x:c>
      <x:c r="G759" s="40" t="n">
        <x:v>0.012645829875974315</x:v>
      </x:c>
      <x:c r="H759" s="40" t="n">
        <x:v>0.09945970994611485</x:v>
      </x:c>
    </x:row>
    <x:row r="760">
      <x:c r="A760" t="n">
        <x:v>711</x:v>
      </x:c>
      <x:c r="B760" s="40" t="n">
        <x:v>0.08683024068238966</x:v>
      </x:c>
      <x:c r="C760" s="40" t="n">
        <x:v>0.08504384430275581</x:v>
      </x:c>
      <x:c r="D760" s="40" t="n">
        <x:v>0.7922548078692652</x:v>
      </x:c>
      <x:c r="E760" s="40" t="n">
        <x:v>0.1347159955066308</x:v>
      </x:c>
      <x:c r="F760" s="40" t="n">
        <x:v>0.08586000139758183</x:v>
      </x:c>
      <x:c r="G760" s="40" t="n">
        <x:v>0.209078090290358</x:v>
      </x:c>
      <x:c r="H760" s="40" t="n">
        <x:v>0.06236943052762859</x:v>
      </x:c>
    </x:row>
    <x:row r="761">
      <x:c r="A761" t="n">
        <x:v>712</x:v>
      </x:c>
      <x:c r="B761" s="40" t="n">
        <x:v>0.08732583466397634</x:v>
      </x:c>
      <x:c r="C761" s="40" t="n">
        <x:v>0.08322344366097506</x:v>
      </x:c>
      <x:c r="D761" s="40" t="n">
        <x:v>0.8155392942716759</x:v>
      </x:c>
      <x:c r="E761" s="40" t="n">
        <x:v>0.03233452365955777</x:v>
      </x:c>
      <x:c r="F761" s="40" t="n">
        <x:v>0.054306078618555784</x:v>
      </x:c>
      <x:c r="G761" s="40" t="n">
        <x:v>0.03755372386401745</x:v>
      </x:c>
      <x:c r="H761" s="40" t="n">
        <x:v>0.09823837763367825</x:v>
      </x:c>
    </x:row>
    <x:row r="762">
      <x:c r="A762" t="n">
        <x:v>713</x:v>
      </x:c>
      <x:c r="B762" s="40" t="n">
        <x:v>0.09065545260258108</x:v>
      </x:c>
      <x:c r="C762" s="40" t="n">
        <x:v>0.09352505900183347</x:v>
      </x:c>
      <x:c r="D762" s="40" t="n">
        <x:v>0.7613104681103605</x:v>
      </x:c>
      <x:c r="E762" s="40" t="n">
        <x:v>0.02726694758894047</x:v>
      </x:c>
      <x:c r="F762" s="40" t="n">
        <x:v>0.03790061613335531</x:v>
      </x:c>
      <x:c r="G762" s="40" t="n">
        <x:v>0.032168765658038424</x:v>
      </x:c>
      <x:c r="H762" s="40" t="n">
        <x:v>0.3223333697644069</x:v>
      </x:c>
    </x:row>
    <x:row r="763">
      <x:c r="A763" t="n">
        <x:v>714</x:v>
      </x:c>
      <x:c r="B763" s="40" t="n">
        <x:v>0.07571734882453371</x:v>
      </x:c>
      <x:c r="C763" s="40" t="n">
        <x:v>0.09408007902213318</x:v>
      </x:c>
      <x:c r="D763" s="40" t="n">
        <x:v>0.5980384291285625</x:v>
      </x:c>
      <x:c r="E763" s="40" t="n">
        <x:v>0.47297075181527903</x:v>
      </x:c>
      <x:c r="F763" s="40" t="n">
        <x:v>0.04663637795801219</x:v>
      </x:c>
      <x:c r="G763" s="40" t="n">
        <x:v>0.23183108268392127</x:v>
      </x:c>
      <x:c r="H763" s="40" t="n">
        <x:v>0.03312174724330076</x:v>
      </x:c>
    </x:row>
    <x:row r="764">
      <x:c r="A764" t="n">
        <x:v>715</x:v>
      </x:c>
      <x:c r="B764" s="40" t="n">
        <x:v>0.08984558090384073</x:v>
      </x:c>
      <x:c r="C764" s="40" t="n">
        <x:v>0.1272743303162965</x:v>
      </x:c>
      <x:c r="D764" s="40" t="n">
        <x:v>0.5530709497748695</x:v>
      </x:c>
      <x:c r="E764" s="40" t="n">
        <x:v>0.11643865589300223</x:v>
      </x:c>
      <x:c r="F764" s="40" t="n">
        <x:v>0.3871852770807524</x:v>
      </x:c>
      <x:c r="G764" s="40" t="n">
        <x:v>0.1411712954032458</x:v>
      </x:c>
      <x:c r="H764" s="40" t="n">
        <x:v>0.1036479984086449</x:v>
      </x:c>
    </x:row>
    <x:row r="765">
      <x:c r="A765" t="n">
        <x:v>716</x:v>
      </x:c>
      <x:c r="B765" s="40" t="n">
        <x:v>0.06957653972710474</x:v>
      </x:c>
      <x:c r="C765" s="40" t="n">
        <x:v>0.06636812221249501</x:v>
      </x:c>
      <x:c r="D765" s="40" t="n">
        <x:v>0.7552224155563358</x:v>
      </x:c>
      <x:c r="E765" s="40" t="n">
        <x:v>0.04678097081431965</x:v>
      </x:c>
      <x:c r="F765" s="40" t="n">
        <x:v>0.050990337998951384</x:v>
      </x:c>
      <x:c r="G765" s="40" t="n">
        <x:v>0.23393994226182663</x:v>
      </x:c>
      <x:c r="H765" s="40" t="n">
        <x:v>0.5170218872019321</x:v>
      </x:c>
    </x:row>
    <x:row r="766">
      <x:c r="A766" t="n">
        <x:v>717</x:v>
      </x:c>
      <x:c r="B766" s="40" t="n">
        <x:v>0.09063139869050744</x:v>
      </x:c>
      <x:c r="C766" s="40" t="n">
        <x:v>0.14105796172468993</x:v>
      </x:c>
      <x:c r="D766" s="40" t="n">
        <x:v>0.5045979090182955</x:v>
      </x:c>
      <x:c r="E766" s="40" t="n">
        <x:v>0.18536736124033307</x:v>
      </x:c>
      <x:c r="F766" s="40" t="n">
        <x:v>0.3770229500756641</x:v>
      </x:c>
      <x:c r="G766" s="40" t="n">
        <x:v>0.002463997562824194</x:v>
      </x:c>
      <x:c r="H766" s="40" t="n">
        <x:v>0.2605676712447201</x:v>
      </x:c>
    </x:row>
    <x:row r="767">
      <x:c r="A767" t="n">
        <x:v>718</x:v>
      </x:c>
      <x:c r="B767" s="40" t="n">
        <x:v>0.06970581153339879</x:v>
      </x:c>
      <x:c r="C767" s="40" t="n">
        <x:v>0.06077643568354623</x:v>
      </x:c>
      <x:c r="D767" s="40" t="n">
        <x:v>0.8268330449848534</x:v>
      </x:c>
      <x:c r="E767" s="40" t="n">
        <x:v>0.06065611052457081</x:v>
      </x:c>
      <x:c r="F767" s="40" t="n">
        <x:v>0.08340343933060393</x:v>
      </x:c>
      <x:c r="G767" s="40" t="n">
        <x:v>0.351633018311415</x:v>
      </x:c>
      <x:c r="H767" s="40" t="n">
        <x:v>0.18029485660157202</x:v>
      </x:c>
    </x:row>
    <x:row r="768">
      <x:c r="A768" t="n">
        <x:v>719</x:v>
      </x:c>
      <x:c r="B768" s="40" t="n">
        <x:v>0.08196944533519107</x:v>
      </x:c>
      <x:c r="C768" s="40" t="n">
        <x:v>0.09188892852322855</x:v>
      </x:c>
      <x:c r="D768" s="40" t="n">
        <x:v>0.6803387544729247</x:v>
      </x:c>
      <x:c r="E768" s="40" t="n">
        <x:v>0.1593871220034798</x:v>
      </x:c>
      <x:c r="F768" s="40" t="n">
        <x:v>0.22869349685359172</x:v>
      </x:c>
      <x:c r="G768" s="40" t="n">
        <x:v>0.25829451383562657</x:v>
      </x:c>
      <x:c r="H768" s="40" t="n">
        <x:v>0.04664861461783582</x:v>
      </x:c>
    </x:row>
    <x:row r="769">
      <x:c r="A769" t="n">
        <x:v>720</x:v>
      </x:c>
      <x:c r="B769" s="40" t="n">
        <x:v>0.06595179562689675</x:v>
      </x:c>
      <x:c r="C769" s="40" t="n">
        <x:v>0.06045938451495079</x:v>
      </x:c>
      <x:c r="D769" s="40" t="n">
        <x:v>0.7690774533365003</x:v>
      </x:c>
      <x:c r="E769" s="40" t="n">
        <x:v>0.17411122555218891</x:v>
      </x:c>
      <x:c r="F769" s="40" t="n">
        <x:v>0.05137406470749119</x:v>
      </x:c>
      <x:c r="G769" s="40" t="n">
        <x:v>0.2525195284307829</x:v>
      </x:c>
      <x:c r="H769" s="40" t="n">
        <x:v>0.2877119588735522</x:v>
      </x:c>
    </x:row>
    <x:row r="770">
      <x:c r="A770" t="n">
        <x:v>721</x:v>
      </x:c>
      <x:c r="B770" s="40" t="n">
        <x:v>0.08118739466840143</x:v>
      </x:c>
      <x:c r="C770" s="40" t="n">
        <x:v>0.09815251935324389</x:v>
      </x:c>
      <x:c r="D770" s="40" t="n">
        <x:v>0.6289553128267718</x:v>
      </x:c>
      <x:c r="E770" s="40" t="n">
        <x:v>0.41694029652225073</x:v>
      </x:c>
      <x:c r="F770" s="40" t="n">
        <x:v>0.10470783906979332</x:v>
      </x:c>
      <x:c r="G770" s="40" t="n">
        <x:v>0.2918191570666122</x:v>
      </x:c>
      <x:c r="H770" s="40" t="n">
        <x:v>0.09898687381169594</x:v>
      </x:c>
    </x:row>
    <x:row r="771">
      <x:c r="A771" t="n">
        <x:v>722</x:v>
      </x:c>
      <x:c r="B771" s="40" t="n">
        <x:v>0.0803624235946615</x:v>
      </x:c>
      <x:c r="C771" s="40" t="n">
        <x:v>0.07139837473714251</x:v>
      </x:c>
      <x:c r="D771" s="40" t="n">
        <x:v>0.8530807271881748</x:v>
      </x:c>
      <x:c r="E771" s="40" t="n">
        <x:v>0.03573670894527297</x:v>
      </x:c>
      <x:c r="F771" s="40" t="n">
        <x:v>0.08792898637280698</x:v>
      </x:c>
      <x:c r="G771" s="40" t="n">
        <x:v>0.15477994429357966</x:v>
      </x:c>
      <x:c r="H771" s="40" t="n">
        <x:v>0.0914648989656695</x:v>
      </x:c>
    </x:row>
    <x:row r="772">
      <x:c r="A772" t="n">
        <x:v>723</x:v>
      </x:c>
      <x:c r="B772" s="40" t="n">
        <x:v>0.08494777213685223</x:v>
      </x:c>
      <x:c r="C772" s="40" t="n">
        <x:v>0.08564785859791205</x:v>
      </x:c>
      <x:c r="D772" s="40" t="n">
        <x:v>0.7646884236823489</x:v>
      </x:c>
      <x:c r="E772" s="40" t="n">
        <x:v>0.09266494529380748</x:v>
      </x:c>
      <x:c r="F772" s="40" t="n">
        <x:v>0.15978214801429752</x:v>
      </x:c>
      <x:c r="G772" s="40" t="n">
        <x:v>0.20345730445824167</x:v>
      </x:c>
      <x:c r="H772" s="40" t="n">
        <x:v>0.17530210118480194</x:v>
      </x:c>
    </x:row>
    <x:row r="773">
      <x:c r="A773" t="n">
        <x:v>724</x:v>
      </x:c>
      <x:c r="B773" s="40" t="n">
        <x:v>0.07637771803835149</x:v>
      </x:c>
      <x:c r="C773" s="40" t="n">
        <x:v>0.06909497226649111</x:v>
      </x:c>
      <x:c r="D773" s="40" t="n">
        <x:v>0.823849695820945</x:v>
      </x:c>
      <x:c r="E773" s="40" t="n">
        <x:v>0.02491431453802509</x:v>
      </x:c>
      <x:c r="F773" s="40" t="n">
        <x:v>0.12489621664422217</x:v>
      </x:c>
      <x:c r="G773" s="40" t="n">
        <x:v>0.09339033698036096</x:v>
      </x:c>
      <x:c r="H773" s="40" t="n">
        <x:v>0.26022763040894603</x:v>
      </x:c>
    </x:row>
    <x:row r="774">
      <x:c r="A774" t="n">
        <x:v>725</x:v>
      </x:c>
      <x:c r="B774" s="40" t="n">
        <x:v>0.08157369432980378</x:v>
      </x:c>
      <x:c r="C774" s="40" t="n">
        <x:v>0.07888955505364206</x:v>
      </x:c>
      <x:c r="D774" s="40" t="n">
        <x:v>0.7874280458765215</x:v>
      </x:c>
      <x:c r="E774" s="40" t="n">
        <x:v>0.166109986128998</x:v>
      </x:c>
      <x:c r="F774" s="40" t="n">
        <x:v>0.09043360447110137</x:v>
      </x:c>
      <x:c r="G774" s="40" t="n">
        <x:v>0.07149233516282341</x:v>
      </x:c>
      <x:c r="H774" s="40" t="n">
        <x:v>0.24309074372271205</x:v>
      </x:c>
    </x:row>
    <x:row r="775">
      <x:c r="A775" t="n">
        <x:v>726</x:v>
      </x:c>
      <x:c r="B775" s="40" t="n">
        <x:v>0.08737575037323048</x:v>
      </x:c>
      <x:c r="C775" s="40" t="n">
        <x:v>0.1244730571939232</x:v>
      </x:c>
      <x:c r="D775" s="40" t="n">
        <x:v>0.545675552208581</x:v>
      </x:c>
      <x:c r="E775" s="40" t="n">
        <x:v>0.09902717776100896</x:v>
      </x:c>
      <x:c r="F775" s="40" t="n">
        <x:v>0.3754595502414946</x:v>
      </x:c>
      <x:c r="G775" s="40" t="n">
        <x:v>0.10111134814643705</x:v>
      </x:c>
      <x:c r="H775" s="40" t="n">
        <x:v>0.13570444886535737</x:v>
      </x:c>
    </x:row>
    <x:row r="776">
      <x:c r="A776" t="n">
        <x:v>727</x:v>
      </x:c>
      <x:c r="B776" s="40" t="n">
        <x:v>0.08530428712136208</x:v>
      </x:c>
      <x:c r="C776" s="40" t="n">
        <x:v>0.09571831184908353</x:v>
      </x:c>
      <x:c r="D776" s="40" t="n">
        <x:v>0.6879607433041708</x:v>
      </x:c>
      <x:c r="E776" s="40" t="n">
        <x:v>0.1462689193950561</x:v>
      </x:c>
      <x:c r="F776" s="40" t="n">
        <x:v>0.1935141061285156</x:v>
      </x:c>
      <x:c r="G776" s="40" t="n">
        <x:v>0.09589850675873596</x:v>
      </x:c>
      <x:c r="H776" s="40" t="n">
        <x:v>0.2983096848357758</x:v>
      </x:c>
    </x:row>
    <x:row r="777">
      <x:c r="A777" t="n">
        <x:v>728</x:v>
      </x:c>
      <x:c r="B777" s="40" t="n">
        <x:v>0.10299908936880811</x:v>
      </x:c>
      <x:c r="C777" s="40" t="n">
        <x:v>0.11662485528919972</x:v>
      </x:c>
      <x:c r="D777" s="40" t="n">
        <x:v>0.7163588156897703</x:v>
      </x:c>
      <x:c r="E777" s="40" t="n">
        <x:v>0.23130861466392133</x:v>
      </x:c>
      <x:c r="F777" s="40" t="n">
        <x:v>0.02567196236852607</x:v>
      </x:c>
      <x:c r="G777" s="40" t="n">
        <x:v>0.05151814341170513</x:v>
      </x:c>
      <x:c r="H777" s="40" t="n">
        <x:v>0.02536827589401007</x:v>
      </x:c>
    </x:row>
    <x:row r="778">
      <x:c r="A778" t="n">
        <x:v>729</x:v>
      </x:c>
      <x:c r="B778" s="40" t="n">
        <x:v>0.05950820512197221</x:v>
      </x:c>
      <x:c r="C778" s="40" t="n">
        <x:v>0.04874871317152821</x:v>
      </x:c>
      <x:c r="D778" s="40" t="n">
        <x:v>0.8216495649267701</x:v>
      </x:c>
      <x:c r="E778" s="40" t="n">
        <x:v>0.10403888936378985</x:v>
      </x:c>
      <x:c r="F778" s="40" t="n">
        <x:v>0.03704545317064979</x:v>
      </x:c>
      <x:c r="G778" s="40" t="n">
        <x:v>0.2289051853014075</x:v>
      </x:c>
      <x:c r="H778" s="40" t="n">
        <x:v>0.04318432257404116</x:v>
      </x:c>
    </x:row>
    <x:row r="779">
      <x:c r="A779" t="n">
        <x:v>730</x:v>
      </x:c>
      <x:c r="B779" s="40" t="n">
        <x:v>0.08750267078657492</x:v>
      </x:c>
      <x:c r="C779" s="40" t="n">
        <x:v>0.10693116272248508</x:v>
      </x:c>
      <x:c r="D779" s="40" t="n">
        <x:v>0.6363797315973607</x:v>
      </x:c>
      <x:c r="E779" s="40" t="n">
        <x:v>0.443666412074195</x:v>
      </x:c>
      <x:c r="F779" s="40" t="n">
        <x:v>0.1029647565406927</x:v>
      </x:c>
      <x:c r="G779" s="40" t="n">
        <x:v>0.1644159459758962</x:v>
      </x:c>
      <x:c r="H779" s="40" t="n">
        <x:v>0.012875719806012325</x:v>
      </x:c>
    </x:row>
    <x:row r="780">
      <x:c r="A780" t="n">
        <x:v>731</x:v>
      </x:c>
      <x:c r="B780" s="40" t="n">
        <x:v>0.09092037022983313</x:v>
      </x:c>
      <x:c r="C780" s="40" t="n">
        <x:v>0.14492240220849004</x:v>
      </x:c>
      <x:c r="D780" s="40" t="n">
        <x:v>0.4931364853666511</x:v>
      </x:c>
      <x:c r="E780" s="40" t="n">
        <x:v>0.05114327930664546</x:v>
      </x:c>
      <x:c r="F780" s="40" t="n">
        <x:v>0.5066369772775304</x:v>
      </x:c>
      <x:c r="G780" s="40" t="n">
        <x:v>0.2046793651001789</x:v>
      </x:c>
      <x:c r="H780" s="40" t="n">
        <x:v>0.08424686507984086</x:v>
      </x:c>
    </x:row>
    <x:row r="781">
      <x:c r="A781" t="n">
        <x:v>732</x:v>
      </x:c>
      <x:c r="B781" s="40" t="n">
        <x:v>0.08026033252398468</x:v>
      </x:c>
      <x:c r="C781" s="40" t="n">
        <x:v>0.0773940604165929</x:v>
      </x:c>
      <x:c r="D781" s="40" t="n">
        <x:v>0.7856738106623737</x:v>
      </x:c>
      <x:c r="E781" s="40" t="n">
        <x:v>0.04603736094985036</x:v>
      </x:c>
      <x:c r="F781" s="40" t="n">
        <x:v>0.15136675157298807</x:v>
      </x:c>
      <x:c r="G781" s="40" t="n">
        <x:v>0.2263534667885894</x:v>
      </x:c>
      <x:c r="H781" s="40" t="n">
        <x:v>0.20515388558581393</x:v>
      </x:c>
    </x:row>
    <x:row r="782">
      <x:c r="A782" t="n">
        <x:v>733</x:v>
      </x:c>
      <x:c r="B782" s="40" t="n">
        <x:v>0.0679482101484582</x:v>
      </x:c>
      <x:c r="C782" s="40" t="n">
        <x:v>0.07379082931117965</x:v>
      </x:c>
      <x:c r="D782" s="40" t="n">
        <x:v>0.6571868678980265</x:v>
      </x:c>
      <x:c r="E782" s="40" t="n">
        <x:v>0.04773126172188124</x:v>
      </x:c>
      <x:c r="F782" s="40" t="n">
        <x:v>0.20922310960705845</x:v>
      </x:c>
      <x:c r="G782" s="40" t="n">
        <x:v>0.461507882580594</x:v>
      </x:c>
      <x:c r="H782" s="40" t="n">
        <x:v>0.18372077553744146</x:v>
      </x:c>
    </x:row>
    <x:row r="783">
      <x:c r="A783" t="n">
        <x:v>734</x:v>
      </x:c>
      <x:c r="B783" s="40" t="n">
        <x:v>0.08242662156781126</x:v>
      </x:c>
      <x:c r="C783" s="40" t="n">
        <x:v>0.11430491834911702</x:v>
      </x:c>
      <x:c r="D783" s="40" t="n">
        <x:v>0.5509192108569627</x:v>
      </x:c>
      <x:c r="E783" s="40" t="n">
        <x:v>0.08093894372358919</x:v>
      </x:c>
      <x:c r="F783" s="40" t="n">
        <x:v>0.35855205428078696</x:v>
      </x:c>
      <x:c r="G783" s="40" t="n">
        <x:v>0.2584322614977922</x:v>
      </x:c>
      <x:c r="H783" s="40" t="n">
        <x:v>0.2504629489884483</x:v>
      </x:c>
    </x:row>
    <x:row r="784">
      <x:c r="A784" t="n">
        <x:v>735</x:v>
      </x:c>
      <x:c r="B784" s="40" t="n">
        <x:v>0.08111084181857686</x:v>
      </x:c>
      <x:c r="C784" s="40" t="n">
        <x:v>0.08085773625743396</x:v>
      </x:c>
      <x:c r="D784" s="40" t="n">
        <x:v>0.7625367530501701</x:v>
      </x:c>
      <x:c r="E784" s="40" t="n">
        <x:v>0.30623516938317624</x:v>
      </x:c>
      <x:c r="F784" s="40" t="n">
        <x:v>0.02084931911590982</x:v>
      </x:c>
      <x:c r="G784" s="40" t="n">
        <x:v>0.06175017358990421</x:v>
      </x:c>
      <x:c r="H784" s="40" t="n">
        <x:v>0.1033471666542892</x:v>
      </x:c>
    </x:row>
    <x:row r="785">
      <x:c r="A785" t="n">
        <x:v>736</x:v>
      </x:c>
      <x:c r="B785" s="40" t="n">
        <x:v>0.08078910351198468</x:v>
      </x:c>
      <x:c r="C785" s="40" t="n">
        <x:v>0.08731011967458402</x:v>
      </x:c>
      <x:c r="D785" s="40" t="n">
        <x:v>0.7024988350347344</x:v>
      </x:c>
      <x:c r="E785" s="40" t="n">
        <x:v>0.11261735002001716</x:v>
      </x:c>
      <x:c r="F785" s="40" t="n">
        <x:v>0.20861139070686266</x:v>
      </x:c>
      <x:c r="G785" s="40" t="n">
        <x:v>0.3435149889195605</x:v>
      </x:c>
      <x:c r="H785" s="40" t="n">
        <x:v>0.16692914338732073</x:v>
      </x:c>
    </x:row>
    <x:row r="786">
      <x:c r="A786" t="n">
        <x:v>737</x:v>
      </x:c>
      <x:c r="B786" s="40" t="n">
        <x:v>0.07579690909207537</x:v>
      </x:c>
      <x:c r="C786" s="40" t="n">
        <x:v>0.07418667427435795</x:v>
      </x:c>
      <x:c r="D786" s="40" t="n">
        <x:v>0.7594768668273321</x:v>
      </x:c>
      <x:c r="E786" s="40" t="n">
        <x:v>0.08238008223906738</x:v>
      </x:c>
      <x:c r="F786" s="40" t="n">
        <x:v>0.13188509684013577</x:v>
      </x:c>
      <x:c r="G786" s="40" t="n">
        <x:v>0.28702092146399</x:v>
      </x:c>
      <x:c r="H786" s="40" t="n">
        <x:v>0.29003048486176614</x:v>
      </x:c>
    </x:row>
    <x:row r="787">
      <x:c r="A787" t="n">
        <x:v>738</x:v>
      </x:c>
      <x:c r="B787" s="40" t="n">
        <x:v>0.08546275664645077</x:v>
      </x:c>
      <x:c r="C787" s="40" t="n">
        <x:v>0.10934995821319782</x:v>
      </x:c>
      <x:c r="D787" s="40" t="n">
        <x:v>0.6036482461557793</x:v>
      </x:c>
      <x:c r="E787" s="40" t="n">
        <x:v>0.22223212035922177</x:v>
      </x:c>
      <x:c r="F787" s="40" t="n">
        <x:v>0.22400417349456575</x:v>
      </x:c>
      <x:c r="G787" s="40" t="n">
        <x:v>0.05128326710991533</x:v>
      </x:c>
      <x:c r="H787" s="40" t="n">
        <x:v>0.2899616024652657</x:v>
      </x:c>
    </x:row>
    <x:row r="788">
      <x:c r="A788" t="n">
        <x:v>739</x:v>
      </x:c>
      <x:c r="B788" s="40" t="n">
        <x:v>0.07480041859781265</x:v>
      </x:c>
      <x:c r="C788" s="40" t="n">
        <x:v>0.06554058192761889</x:v>
      </x:c>
      <x:c r="D788" s="40" t="n">
        <x:v>0.8444626339309841</x:v>
      </x:c>
      <x:c r="E788" s="40" t="n">
        <x:v>0.1692330204236663</x:v>
      </x:c>
      <x:c r="F788" s="40" t="n">
        <x:v>0.04584509087560344</x:v>
      </x:c>
      <x:c r="G788" s="40" t="n">
        <x:v>0.12887144067682113</x:v>
      </x:c>
      <x:c r="H788" s="40" t="n">
        <x:v>0.19901463227340666</x:v>
      </x:c>
    </x:row>
    <x:row r="789">
      <x:c r="A789" t="n">
        <x:v>740</x:v>
      </x:c>
      <x:c r="B789" s="40" t="n">
        <x:v>0.09388544079383784</x:v>
      </x:c>
      <x:c r="C789" s="40" t="n">
        <x:v>0.1056955047161683</x:v>
      </x:c>
      <x:c r="D789" s="40" t="n">
        <x:v>0.7042077602057739</x:v>
      </x:c>
      <x:c r="E789" s="40" t="n">
        <x:v>0.10286004469142575</x:v>
      </x:c>
      <x:c r="F789" s="40" t="n">
        <x:v>0.02214875988705586</x:v>
      </x:c>
      <x:c r="G789" s="40" t="n">
        <x:v>0.22504967505588633</x:v>
      </x:c>
      <x:c r="H789" s="40" t="n">
        <x:v>0.0005285439428374674</x:v>
      </x:c>
    </x:row>
    <x:row r="790">
      <x:c r="A790" t="n">
        <x:v>741</x:v>
      </x:c>
      <x:c r="B790" s="40" t="n">
        <x:v>0.06087085424411311</x:v>
      </x:c>
      <x:c r="C790" s="40" t="n">
        <x:v>0.055907990541508815</x:v>
      </x:c>
      <x:c r="D790" s="40" t="n">
        <x:v>0.7408065947123774</x:v>
      </x:c>
      <x:c r="E790" s="40" t="n">
        <x:v>0.07251494585127405</x:v>
      </x:c>
      <x:c r="F790" s="40" t="n">
        <x:v>0.12273389826538204</x:v>
      </x:c>
      <x:c r="G790" s="40" t="n">
        <x:v>0.5122758896362064</x:v>
      </x:c>
      <x:c r="H790" s="40" t="n">
        <x:v>0.04087341359859645</x:v>
      </x:c>
    </x:row>
    <x:row r="791">
      <x:c r="A791" t="n">
        <x:v>742</x:v>
      </x:c>
      <x:c r="B791" s="40" t="n">
        <x:v>0.0761638102002255</x:v>
      </x:c>
      <x:c r="C791" s="40" t="n">
        <x:v>0.07107903013931839</x:v>
      </x:c>
      <x:c r="D791" s="40" t="n">
        <x:v>0.7978438075931119</x:v>
      </x:c>
      <x:c r="E791" s="40" t="n">
        <x:v>0.040439560248134644</x:v>
      </x:c>
      <x:c r="F791" s="40" t="n">
        <x:v>0.030217818522839928</x:v>
      </x:c>
      <x:c r="G791" s="40" t="n">
        <x:v>0.2825003807411995</x:v>
      </x:c>
      <x:c r="H791" s="40" t="n">
        <x:v>0.18233339725305642</x:v>
      </x:c>
    </x:row>
    <x:row r="792">
      <x:c r="A792" t="n">
        <x:v>743</x:v>
      </x:c>
      <x:c r="B792" s="40" t="n">
        <x:v>0.07100755823501795</x:v>
      </x:c>
      <x:c r="C792" s="40" t="n">
        <x:v>0.07158097598579584</x:v>
      </x:c>
      <x:c r="D792" s="40" t="n">
        <x:v>0.7202152718817615</x:v>
      </x:c>
      <x:c r="E792" s="40" t="n">
        <x:v>0.35560277041213983</x:v>
      </x:c>
      <x:c r="F792" s="40" t="n">
        <x:v>0.01906206335506343</x:v>
      </x:c>
      <x:c r="G792" s="40" t="n">
        <x:v>0.31538298487045846</x:v>
      </x:c>
      <x:c r="H792" s="40" t="n">
        <x:v>0.03568323938087288</x:v>
      </x:c>
    </x:row>
    <x:row r="793">
      <x:c r="A793" t="n">
        <x:v>744</x:v>
      </x:c>
      <x:c r="B793" s="40" t="n">
        <x:v>0.07102443785758909</x:v>
      </x:c>
      <x:c r="C793" s="40" t="n">
        <x:v>0.07289477575197577</x:v>
      </x:c>
      <x:c r="D793" s="40" t="n">
        <x:v>0.7074662233575106</x:v>
      </x:c>
      <x:c r="E793" s="40" t="n">
        <x:v>0.26589896628375964</x:v>
      </x:c>
      <x:c r="F793" s="40" t="n">
        <x:v>0.012063696647341162</x:v>
      </x:c>
      <x:c r="G793" s="40" t="n">
        <x:v>0.1890961270603797</x:v>
      </x:c>
      <x:c r="H793" s="40" t="n">
        <x:v>0.4464471237330976</x:v>
      </x:c>
    </x:row>
    <x:row r="794">
      <x:c r="A794" t="n">
        <x:v>745</x:v>
      </x:c>
      <x:c r="B794" s="40" t="n">
        <x:v>0.09517616239351123</x:v>
      </x:c>
      <x:c r="C794" s="40" t="n">
        <x:v>0.12044688395394017</x:v>
      </x:c>
      <x:c r="D794" s="40" t="n">
        <x:v>0.6286780840974009</x:v>
      </x:c>
      <x:c r="E794" s="40" t="n">
        <x:v>0.07826167795911748</x:v>
      </x:c>
      <x:c r="F794" s="40" t="n">
        <x:v>0.322746657401135</x:v>
      </x:c>
      <x:c r="G794" s="40" t="n">
        <x:v>0.03250029163448701</x:v>
      </x:c>
      <x:c r="H794" s="40" t="n">
        <x:v>0.2268801841565467</x:v>
      </x:c>
    </x:row>
    <x:row r="795">
      <x:c r="A795" t="n">
        <x:v>746</x:v>
      </x:c>
      <x:c r="B795" s="40" t="n">
        <x:v>0.07456465897001303</x:v>
      </x:c>
      <x:c r="C795" s="40" t="n">
        <x:v>0.0684260628183241</x:v>
      </x:c>
      <x:c r="D795" s="40" t="n">
        <x:v>0.8054067492161557</x:v>
      </x:c>
      <x:c r="E795" s="40" t="n">
        <x:v>0.19552001281223705</x:v>
      </x:c>
      <x:c r="F795" s="40" t="n">
        <x:v>0.0079797892897735</x:v>
      </x:c>
      <x:c r="G795" s="40" t="n">
        <x:v>0.02241653995958859</x:v>
      </x:c>
      <x:c r="H795" s="40" t="n">
        <x:v>0.40832197624300876</x:v>
      </x:c>
    </x:row>
    <x:row r="796">
      <x:c r="A796" t="n">
        <x:v>747</x:v>
      </x:c>
      <x:c r="B796" s="40" t="n">
        <x:v>0.08992643014764845</x:v>
      </x:c>
      <x:c r="C796" s="40" t="n">
        <x:v>0.09373009107913689</x:v>
      </x:c>
      <x:c r="D796" s="40" t="n">
        <x:v>0.7518672304959338</x:v>
      </x:c>
      <x:c r="E796" s="40" t="n">
        <x:v>0.07155429568341583</x:v>
      </x:c>
      <x:c r="F796" s="40" t="n">
        <x:v>0.06027548233705039</x:v>
      </x:c>
      <x:c r="G796" s="40" t="n">
        <x:v>0.05170711771702282</x:v>
      </x:c>
      <x:c r="H796" s="40" t="n">
        <x:v>0.4419403049818022</x:v>
      </x:c>
    </x:row>
    <x:row r="797">
      <x:c r="A797" t="n">
        <x:v>748</x:v>
      </x:c>
      <x:c r="B797" s="40" t="n">
        <x:v>0.06886518304284009</x:v>
      </x:c>
      <x:c r="C797" s="40" t="n">
        <x:v>0.07286236913490714</x:v>
      </x:c>
      <x:c r="D797" s="40" t="n">
        <x:v>0.6781461744334332</x:v>
      </x:c>
      <x:c r="E797" s="40" t="n">
        <x:v>0.3158748572804899</x:v>
      </x:c>
      <x:c r="F797" s="40" t="n">
        <x:v>0.03970217799077952</x:v>
      </x:c>
      <x:c r="G797" s="40" t="n">
        <x:v>0.2452529606216354</x:v>
      </x:c>
      <x:c r="H797" s="40" t="n">
        <x:v>0.19444648616404572</x:v>
      </x:c>
    </x:row>
    <x:row r="798">
      <x:c r="A798" t="n">
        <x:v>749</x:v>
      </x:c>
      <x:c r="B798" s="40" t="n">
        <x:v>0.05950509532728379</x:v>
      </x:c>
      <x:c r="C798" s="40" t="n">
        <x:v>0.04936122846341538</x:v>
      </x:c>
      <x:c r="D798" s="40" t="n">
        <x:v>0.8113908510830937</x:v>
      </x:c>
      <x:c r="E798" s="40" t="n">
        <x:v>0.03981363586332696</x:v>
      </x:c>
      <x:c r="F798" s="40" t="n">
        <x:v>0.012035872645030468</x:v>
      </x:c>
      <x:c r="G798" s="40" t="n">
        <x:v>0.07874122056707254</x:v>
      </x:c>
      <x:c r="H798" s="40" t="n">
        <x:v>0.08065175989753677</x:v>
      </x:c>
    </x:row>
    <x:row r="799">
      <x:c r="A799" t="n">
        <x:v>750</x:v>
      </x:c>
      <x:c r="B799" s="40" t="n">
        <x:v>0.07586297717368874</x:v>
      </x:c>
      <x:c r="C799" s="40" t="n">
        <x:v>0.07799940855902351</x:v>
      </x:c>
      <x:c r="D799" s="40" t="n">
        <x:v>0.7231994711492821</x:v>
      </x:c>
      <x:c r="E799" s="40" t="n">
        <x:v>0.11852644391839699</x:v>
      </x:c>
      <x:c r="F799" s="40" t="n">
        <x:v>0.09841277666992913</x:v>
      </x:c>
      <x:c r="G799" s="40" t="n">
        <x:v>0.1544017198296156</x:v>
      </x:c>
      <x:c r="H799" s="40" t="n">
        <x:v>0.5167417876451093</x:v>
      </x:c>
    </x:row>
    <x:row r="800">
      <x:c r="A800" t="n">
        <x:v>751</x:v>
      </x:c>
      <x:c r="B800" s="40" t="n">
        <x:v>0.0625830181496617</x:v>
      </x:c>
      <x:c r="C800" s="40" t="n">
        <x:v>0.057291080068132966</x:v>
      </x:c>
      <x:c r="D800" s="40" t="n">
        <x:v>0.7528078008744907</x:v>
      </x:c>
      <x:c r="E800" s="40" t="n">
        <x:v>0.2733648316811482</x:v>
      </x:c>
      <x:c r="F800" s="40" t="n">
        <x:v>0.005713100998603797</x:v>
      </x:c>
      <x:c r="G800" s="40" t="n">
        <x:v>0.3316173326711849</x:v>
      </x:c>
      <x:c r="H800" s="40" t="n">
        <x:v>0.0465686433988007</x:v>
      </x:c>
    </x:row>
    <x:row r="801">
      <x:c r="A801" t="n">
        <x:v>752</x:v>
      </x:c>
      <x:c r="B801" s="40" t="n">
        <x:v>0.07123212797086377</x:v>
      </x:c>
      <x:c r="C801" s="40" t="n">
        <x:v>0.07032353494461051</x:v>
      </x:c>
      <x:c r="D801" s="40" t="n">
        <x:v>0.7362866763993045</x:v>
      </x:c>
      <x:c r="E801" s="40" t="n">
        <x:v>0.31334803314154036</x:v>
      </x:c>
      <x:c r="F801" s="40" t="n">
        <x:v>0.013133229714023913</x:v>
      </x:c>
      <x:c r="G801" s="40" t="n">
        <x:v>0.24390268639384208</x:v>
      </x:c>
      <x:c r="H801" s="40" t="n">
        <x:v>0.1962942696906666</x:v>
      </x:c>
    </x:row>
    <x:row r="802">
      <x:c r="A802" t="n">
        <x:v>753</x:v>
      </x:c>
      <x:c r="B802" s="40" t="n">
        <x:v>0.0902747622025503</x:v>
      </x:c>
      <x:c r="C802" s="40" t="n">
        <x:v>0.1399216241022445</x:v>
      </x:c>
      <x:c r="D802" s="40" t="n">
        <x:v>0.5061470412675698</x:v>
      </x:c>
      <x:c r="E802" s="40" t="n">
        <x:v>0.07230036435126853</x:v>
      </x:c>
      <x:c r="F802" s="40" t="n">
        <x:v>0.4673575848967811</x:v>
      </x:c>
      <x:c r="G802" s="40" t="n">
        <x:v>0.14235402939007777</x:v>
      </x:c>
      <x:c r="H802" s="40" t="n">
        <x:v>0.029288921430587134</x:v>
      </x:c>
    </x:row>
    <x:row r="803">
      <x:c r="A803" t="n">
        <x:v>754</x:v>
      </x:c>
      <x:c r="B803" s="40" t="n">
        <x:v>0.08410238964477404</x:v>
      </x:c>
      <x:c r="C803" s="40" t="n">
        <x:v>0.10322554954860955</x:v>
      </x:c>
      <x:c r="D803" s="40" t="n">
        <x:v>0.626284323732125</x:v>
      </x:c>
      <x:c r="E803" s="40" t="n">
        <x:v>0.4700354354610598</x:v>
      </x:c>
      <x:c r="F803" s="40" t="n">
        <x:v>0.07954250493439144</x:v>
      </x:c>
      <x:c r="G803" s="40" t="n">
        <x:v>0.2032313019419226</x:v>
      </x:c>
      <x:c r="H803" s="40" t="n">
        <x:v>0.015012129769613825</x:v>
      </x:c>
    </x:row>
    <x:row r="804">
      <x:c r="A804" t="n">
        <x:v>755</x:v>
      </x:c>
      <x:c r="B804" s="40" t="n">
        <x:v>0.07869049897943309</x:v>
      </x:c>
      <x:c r="C804" s="40" t="n">
        <x:v>0.08656103980635559</x:v>
      </x:c>
      <x:c r="D804" s="40" t="n">
        <x:v>0.6843338869092188</x:v>
      </x:c>
      <x:c r="E804" s="40" t="n">
        <x:v>0.0854484279976747</x:v>
      </x:c>
      <x:c r="F804" s="40" t="n">
        <x:v>0.18045243898569593</x:v>
      </x:c>
      <x:c r="G804" s="40" t="n">
        <x:v>0.02644263093679672</x:v>
      </x:c>
      <x:c r="H804" s="40" t="n">
        <x:v>0.3620991420722405</x:v>
      </x:c>
    </x:row>
    <x:row r="805">
      <x:c r="A805" t="n">
        <x:v>756</x:v>
      </x:c>
      <x:c r="B805" s="40" t="n">
        <x:v>0.10228695062599039</x:v>
      </x:c>
      <x:c r="C805" s="40" t="n">
        <x:v>0.12251527422416846</x:v>
      </x:c>
      <x:c r="D805" s="40" t="n">
        <x:v>0.6761043061502925</x:v>
      </x:c>
      <x:c r="E805" s="40" t="n">
        <x:v>0.23753806943668007</x:v>
      </x:c>
      <x:c r="F805" s="40" t="n">
        <x:v>0.217698280968935</x:v>
      </x:c>
      <x:c r="G805" s="40" t="n">
        <x:v>0.01747814559960823</x:v>
      </x:c>
      <x:c r="H805" s="40" t="n">
        <x:v>0.03440688159018231</x:v>
      </x:c>
    </x:row>
    <x:row r="806">
      <x:c r="A806" t="n">
        <x:v>757</x:v>
      </x:c>
      <x:c r="B806" s="40" t="n">
        <x:v>0.08533388278736817</x:v>
      </x:c>
      <x:c r="C806" s="40" t="n">
        <x:v>0.1342875525934736</x:v>
      </x:c>
      <x:c r="D806" s="40" t="n">
        <x:v>0.4905893015487408</x:v>
      </x:c>
      <x:c r="E806" s="40" t="n">
        <x:v>0.15484321988680103</x:v>
      </x:c>
      <x:c r="F806" s="40" t="n">
        <x:v>0.3791637587564255</x:v>
      </x:c>
      <x:c r="G806" s="40" t="n">
        <x:v>0.03651097411946716</x:v>
      </x:c>
      <x:c r="H806" s="40" t="n">
        <x:v>0.06376300092563619</x:v>
      </x:c>
    </x:row>
    <x:row r="807">
      <x:c r="A807" t="n">
        <x:v>758</x:v>
      </x:c>
      <x:c r="B807" s="40" t="n">
        <x:v>0.08143765571676428</x:v>
      </x:c>
      <x:c r="C807" s="40" t="n">
        <x:v>0.08888827748670128</x:v>
      </x:c>
      <x:c r="D807" s="40" t="n">
        <x:v>0.6973226539595351</x:v>
      </x:c>
      <x:c r="E807" s="40" t="n">
        <x:v>0.18041128005846602</x:v>
      </x:c>
      <x:c r="F807" s="40" t="n">
        <x:v>0.1929826553890841</x:v>
      </x:c>
      <x:c r="G807" s="40" t="n">
        <x:v>0.2993734340236115</x:v>
      </x:c>
      <x:c r="H807" s="40" t="n">
        <x:v>0.1278855814883797</x:v>
      </x:c>
    </x:row>
    <x:row r="808">
      <x:c r="A808" t="n">
        <x:v>759</x:v>
      </x:c>
      <x:c r="B808" s="40" t="n">
        <x:v>0.10375612368361131</x:v>
      </x:c>
      <x:c r="C808" s="40" t="n">
        <x:v>0.16630720353563364</x:v>
      </x:c>
      <x:c r="D808" s="40" t="n">
        <x:v>0.5069069513378127</x:v>
      </x:c>
      <x:c r="E808" s="40" t="n">
        <x:v>0.1368169563195161</x:v>
      </x:c>
      <x:c r="F808" s="40" t="n">
        <x:v>0.515196980020134</x:v>
      </x:c>
      <x:c r="G808" s="40" t="n">
        <x:v>0.035999555784386156</x:v>
      </x:c>
      <x:c r="H808" s="40" t="n">
        <x:v>0.10900681494508348</x:v>
      </x:c>
    </x:row>
    <x:row r="809">
      <x:c r="A809" t="n">
        <x:v>760</x:v>
      </x:c>
      <x:c r="B809" s="40" t="n">
        <x:v>0.09184075277433602</x:v>
      </x:c>
      <x:c r="C809" s="40" t="n">
        <x:v>0.15432787088103306</x:v>
      </x:c>
      <x:c r="D809" s="40" t="n">
        <x:v>0.4690462338866248</x:v>
      </x:c>
      <x:c r="E809" s="40" t="n">
        <x:v>0.13315621656438661</x:v>
      </x:c>
      <x:c r="F809" s="40" t="n">
        <x:v>0.5284423403782101</x:v>
      </x:c>
      <x:c r="G809" s="40" t="n">
        <x:v>0.2700206331980484</x:v>
      </x:c>
      <x:c r="H809" s="40" t="n">
        <x:v>0.010051316865289544</x:v>
      </x:c>
    </x:row>
    <x:row r="810">
      <x:c r="A810" t="n">
        <x:v>761</x:v>
      </x:c>
      <x:c r="B810" s="40" t="n">
        <x:v>0.08911502962030239</x:v>
      </x:c>
      <x:c r="C810" s="40" t="n">
        <x:v>0.10419991445459423</x:v>
      </x:c>
      <x:c r="D810" s="40" t="n">
        <x:v>0.6685339794286639</x:v>
      </x:c>
      <x:c r="E810" s="40" t="n">
        <x:v>0.16511930908433164</x:v>
      </x:c>
      <x:c r="F810" s="40" t="n">
        <x:v>0.19005551050149613</x:v>
      </x:c>
      <x:c r="G810" s="40" t="n">
        <x:v>0.03651814223852851</x:v>
      </x:c>
      <x:c r="H810" s="40" t="n">
        <x:v>0.4203855748887283</x:v>
      </x:c>
    </x:row>
    <x:row r="811">
      <x:c r="A811" t="n">
        <x:v>762</x:v>
      </x:c>
      <x:c r="B811" s="40" t="n">
        <x:v>0.09014178921960816</x:v>
      </x:c>
      <x:c r="C811" s="40" t="n">
        <x:v>0.12238506138168131</x:v>
      </x:c>
      <x:c r="D811" s="40" t="n">
        <x:v>0.5775863677128705</x:v>
      </x:c>
      <x:c r="E811" s="40" t="n">
        <x:v>0.09941291479684458</x:v>
      </x:c>
      <x:c r="F811" s="40" t="n">
        <x:v>0.36269411232276066</x:v>
      </x:c>
      <x:c r="G811" s="40" t="n">
        <x:v>0.08530095874736433</x:v>
      </x:c>
      <x:c r="H811" s="40" t="n">
        <x:v>0.04381158796417292</x:v>
      </x:c>
    </x:row>
    <x:row r="812">
      <x:c r="A812" t="n">
        <x:v>763</x:v>
      </x:c>
      <x:c r="B812" s="40" t="n">
        <x:v>0.06476347267538587</x:v>
      </x:c>
      <x:c r="C812" s="40" t="n">
        <x:v>0.07189487617431983</x:v>
      </x:c>
      <x:c r="D812" s="40" t="n">
        <x:v>0.6302205238058938</x:v>
      </x:c>
      <x:c r="E812" s="40" t="n">
        <x:v>0.06425573762715726</x:v>
      </x:c>
      <x:c r="F812" s="40" t="n">
        <x:v>0.1983987819622019</x:v>
      </x:c>
      <x:c r="G812" s="40" t="n">
        <x:v>0.5388295876257989</x:v>
      </x:c>
      <x:c r="H812" s="40" t="n">
        <x:v>0.15778758158497305</x:v>
      </x:c>
    </x:row>
    <x:row r="813">
      <x:c r="A813" t="n">
        <x:v>764</x:v>
      </x:c>
      <x:c r="B813" s="40" t="n">
        <x:v>0.07063204844048994</x:v>
      </x:c>
      <x:c r="C813" s="40" t="n">
        <x:v>0.08614946283980546</x:v>
      </x:c>
      <x:c r="D813" s="40" t="n">
        <x:v>0.5940629296993926</x:v>
      </x:c>
      <x:c r="E813" s="40" t="n">
        <x:v>0.16895482638887374</x:v>
      </x:c>
      <x:c r="F813" s="40" t="n">
        <x:v>0.20469413558507968</x:v>
      </x:c>
      <x:c r="G813" s="40" t="n">
        <x:v>0.22093337230499158</x:v>
      </x:c>
      <x:c r="H813" s="40" t="n">
        <x:v>0.04135440162338594</x:v>
      </x:c>
    </x:row>
    <x:row r="814">
      <x:c r="A814" t="n">
        <x:v>765</x:v>
      </x:c>
      <x:c r="B814" s="40" t="n">
        <x:v>0.0853632595728229</x:v>
      </x:c>
      <x:c r="C814" s="40" t="n">
        <x:v>0.08816536886105077</x:v>
      </x:c>
      <x:c r="D814" s="40" t="n">
        <x:v>0.7475657876830349</x:v>
      </x:c>
      <x:c r="E814" s="40" t="n">
        <x:v>0.14929877347735904</x:v>
      </x:c>
      <x:c r="F814" s="40" t="n">
        <x:v>0.13167790767599571</x:v>
      </x:c>
      <x:c r="G814" s="40" t="n">
        <x:v>0.31954437410733855</x:v>
      </x:c>
      <x:c r="H814" s="40" t="n">
        <x:v>0.12153317181000244</x:v>
      </x:c>
    </x:row>
    <x:row r="815">
      <x:c r="A815" t="n">
        <x:v>766</x:v>
      </x:c>
      <x:c r="B815" s="40" t="n">
        <x:v>0.07235934067843082</x:v>
      </x:c>
      <x:c r="C815" s="40" t="n">
        <x:v>0.06609299255773915</x:v>
      </x:c>
      <x:c r="D815" s="40" t="n">
        <x:v>0.8004705563659593</x:v>
      </x:c>
      <x:c r="E815" s="40" t="n">
        <x:v>0.1091304931606163</x:v>
      </x:c>
      <x:c r="F815" s="40" t="n">
        <x:v>0.03098982058682492</x:v>
      </x:c>
      <x:c r="G815" s="40" t="n">
        <x:v>0.21845700026758616</x:v>
      </x:c>
      <x:c r="H815" s="40" t="n">
        <x:v>0.4159444752832316</x:v>
      </x:c>
    </x:row>
    <x:row r="816">
      <x:c r="A816" t="n">
        <x:v>767</x:v>
      </x:c>
      <x:c r="B816" s="40" t="n">
        <x:v>0.09393127901216493</x:v>
      </x:c>
      <x:c r="C816" s="40" t="n">
        <x:v>0.1498338934502941</x:v>
      </x:c>
      <x:c r="D816" s="40" t="n">
        <x:v>0.49706665924039356</x:v>
      </x:c>
      <x:c r="E816" s="40" t="n">
        <x:v>0.2917446793853231</x:v>
      </x:c>
      <x:c r="F816" s="40" t="n">
        <x:v>0.37783486295444957</x:v>
      </x:c>
      <x:c r="G816" s="40" t="n">
        <x:v>0.029114293712196815</x:v>
      </x:c>
      <x:c r="H816" s="40" t="n">
        <x:v>0.008088418633913828</x:v>
      </x:c>
    </x:row>
    <x:row r="817">
      <x:c r="A817" t="n">
        <x:v>768</x:v>
      </x:c>
      <x:c r="B817" s="40" t="n">
        <x:v>0.08060284513783499</x:v>
      </x:c>
      <x:c r="C817" s="40" t="n">
        <x:v>0.08015938849626333</x:v>
      </x:c>
      <x:c r="D817" s="40" t="n">
        <x:v>0.7628426330477723</x:v>
      </x:c>
      <x:c r="E817" s="40" t="n">
        <x:v>0.06910914682330191</x:v>
      </x:c>
      <x:c r="F817" s="40" t="n">
        <x:v>0.12905425278632823</x:v>
      </x:c>
      <x:c r="G817" s="40" t="n">
        <x:v>0.07749988226155692</x:v>
      </x:c>
      <x:c r="H817" s="40" t="n">
        <x:v>0.418851025720289</x:v>
      </x:c>
    </x:row>
    <x:row r="818">
      <x:c r="A818" t="n">
        <x:v>769</x:v>
      </x:c>
      <x:c r="B818" s="40" t="n">
        <x:v>0.10023343380056007</x:v>
      </x:c>
      <x:c r="C818" s="40" t="n">
        <x:v>0.14014628675554502</x:v>
      </x:c>
      <x:c r="D818" s="40" t="n">
        <x:v>0.5763947766066503</x:v>
      </x:c>
      <x:c r="E818" s="40" t="n">
        <x:v>0.07438721922472148</x:v>
      </x:c>
      <x:c r="F818" s="40" t="n">
        <x:v>0.432671031539999</x:v>
      </x:c>
      <x:c r="G818" s="40" t="n">
        <x:v>0.09352474763153361</x:v>
      </x:c>
      <x:c r="H818" s="40" t="n">
        <x:v>0.0969689194763211</x:v>
      </x:c>
    </x:row>
    <x:row r="819">
      <x:c r="A819" t="n">
        <x:v>770</x:v>
      </x:c>
      <x:c r="B819" s="40" t="n">
        <x:v>0.09254215661702574</x:v>
      </x:c>
      <x:c r="C819" s="40" t="n">
        <x:v>0.09842132151851928</x:v>
      </x:c>
      <x:c r="D819" s="40" t="n">
        <x:v>0.7426064732267088</x:v>
      </x:c>
      <x:c r="E819" s="40" t="n">
        <x:v>0.29721041379732244</x:v>
      </x:c>
      <x:c r="F819" s="40" t="n">
        <x:v>0.0021081370347146374</x:v>
      </x:c>
      <x:c r="G819" s="40" t="n">
        <x:v>0.12438902429688165</x:v>
      </x:c>
      <x:c r="H819" s="40" t="n">
        <x:v>0.14194512555513747</x:v>
      </x:c>
    </x:row>
    <x:row r="820">
      <x:c r="A820" t="n">
        <x:v>771</x:v>
      </x:c>
      <x:c r="B820" s="40" t="n">
        <x:v>0.05574677821974486</x:v>
      </x:c>
      <x:c r="C820" s="40" t="n">
        <x:v>0.04275739697736634</x:v>
      </x:c>
      <x:c r="D820" s="40" t="n">
        <x:v>0.848810606621128</x:v>
      </x:c>
      <x:c r="E820" s="40" t="n">
        <x:v>0.005383962310843114</x:v>
      </x:c>
      <x:c r="F820" s="40" t="n">
        <x:v>0.031690410378832454</x:v>
      </x:c>
      <x:c r="G820" s="40" t="n">
        <x:v>0.2795738262558344</x:v>
      </x:c>
      <x:c r="H820" s="40" t="n">
        <x:v>0.18033128677583837</x:v>
      </x:c>
    </x:row>
    <x:row r="821">
      <x:c r="A821" t="n">
        <x:v>772</x:v>
      </x:c>
      <x:c r="B821" s="40" t="n">
        <x:v>0.07324632409950821</x:v>
      </x:c>
      <x:c r="C821" s="40" t="n">
        <x:v>0.08160656863751319</x:v>
      </x:c>
      <x:c r="D821" s="40" t="n">
        <x:v>0.6591684817015397</x:v>
      </x:c>
      <x:c r="E821" s="40" t="n">
        <x:v>0.04383687166425703</x:v>
      </x:c>
      <x:c r="F821" s="40" t="n">
        <x:v>0.21367363625352553</x:v>
      </x:c>
      <x:c r="G821" s="40" t="n">
        <x:v>0.18048311738574957</x:v>
      </x:c>
      <x:c r="H821" s="40" t="n">
        <x:v>0.31335349497342</x:v>
      </x:c>
    </x:row>
    <x:row r="822">
      <x:c r="A822" t="n">
        <x:v>773</x:v>
      </x:c>
      <x:c r="B822" s="40" t="n">
        <x:v>0.08464484329644748</x:v>
      </x:c>
      <x:c r="C822" s="40" t="n">
        <x:v>0.11497001514765484</x:v>
      </x:c>
      <x:c r="D822" s="40" t="n">
        <x:v>0.5670260811819253</x:v>
      </x:c>
      <x:c r="E822" s="40" t="n">
        <x:v>0.05293370246553822</x:v>
      </x:c>
      <x:c r="F822" s="40" t="n">
        <x:v>0.4026775864308388</x:v>
      </x:c>
      <x:c r="G822" s="40" t="n">
        <x:v>0.3901921013863091</x:v>
      </x:c>
      <x:c r="H822" s="40" t="n">
        <x:v>0.05871274028407936</x:v>
      </x:c>
    </x:row>
    <x:row r="823">
      <x:c r="A823" t="n">
        <x:v>774</x:v>
      </x:c>
      <x:c r="B823" s="40" t="n">
        <x:v>0.10530148641249122</x:v>
      </x:c>
      <x:c r="C823" s="40" t="n">
        <x:v>0.15445966608253503</x:v>
      </x:c>
      <x:c r="D823" s="40" t="n">
        <x:v>0.5557932529309798</x:v>
      </x:c>
      <x:c r="E823" s="40" t="n">
        <x:v>0.19738904488892742</x:v>
      </x:c>
      <x:c r="F823" s="40" t="n">
        <x:v>0.4209368941201975</x:v>
      </x:c>
      <x:c r="G823" s="40" t="n">
        <x:v>0.018944844952194326</x:v>
      </x:c>
      <x:c r="H823" s="40" t="n">
        <x:v>0.10458306939536205</x:v>
      </x:c>
    </x:row>
    <x:row r="824">
      <x:c r="A824" t="n">
        <x:v>775</x:v>
      </x:c>
      <x:c r="B824" s="40" t="n">
        <x:v>0.09071118088248734</x:v>
      </x:c>
      <x:c r="C824" s="40" t="n">
        <x:v>0.1226507135133434</x:v>
      </x:c>
      <x:c r="D824" s="40" t="n">
        <x:v>0.5809777431167489</x:v>
      </x:c>
      <x:c r="E824" s="40" t="n">
        <x:v>0.09814287871826714</x:v>
      </x:c>
      <x:c r="F824" s="40" t="n">
        <x:v>0.35270806755223827</x:v>
      </x:c>
      <x:c r="G824" s="40" t="n">
        <x:v>0.07333734639799515</x:v>
      </x:c>
      <x:c r="H824" s="40" t="n">
        <x:v>0.18884405718815847</x:v>
      </x:c>
    </x:row>
    <x:row r="825">
      <x:c r="A825" t="n">
        <x:v>776</x:v>
      </x:c>
      <x:c r="B825" s="40" t="n">
        <x:v>0.09046348460193383</x:v>
      </x:c>
      <x:c r="C825" s="40" t="n">
        <x:v>0.0962015906941276</x:v>
      </x:c>
      <x:c r="D825" s="40" t="n">
        <x:v>0.738133724564518</x:v>
      </x:c>
      <x:c r="E825" s="40" t="n">
        <x:v>0.07753586013164362</x:v>
      </x:c>
      <x:c r="F825" s="40" t="n">
        <x:v>0.19447072641119031</x:v>
      </x:c>
      <x:c r="G825" s="40" t="n">
        <x:v>0.028746317448395214</x:v>
      </x:c>
      <x:c r="H825" s="40" t="n">
        <x:v>0.1720473696056778</x:v>
      </x:c>
    </x:row>
    <x:row r="826">
      <x:c r="A826" t="n">
        <x:v>777</x:v>
      </x:c>
      <x:c r="B826" s="40" t="n">
        <x:v>0.06370980562083843</x:v>
      </x:c>
      <x:c r="C826" s="40" t="n">
        <x:v>0.05656343174213847</x:v>
      </x:c>
      <x:c r="D826" s="40" t="n">
        <x:v>0.782412914208361</x:v>
      </x:c>
      <x:c r="E826" s="40" t="n">
        <x:v>0.06598827559000145</x:v>
      </x:c>
      <x:c r="F826" s="40" t="n">
        <x:v>0.017138966030551248</x:v>
      </x:c>
      <x:c r="G826" s="40" t="n">
        <x:v>0.45156367848054735</x:v>
      </x:c>
      <x:c r="H826" s="40" t="n">
        <x:v>0.12701155286280733</x:v>
      </x:c>
    </x:row>
    <x:row r="827">
      <x:c r="A827" t="n">
        <x:v>778</x:v>
      </x:c>
      <x:c r="B827" s="40" t="n">
        <x:v>0.07696508670772173</x:v>
      </x:c>
      <x:c r="C827" s="40" t="n">
        <x:v>0.09893333992117813</x:v>
      </x:c>
      <x:c r="D827" s="40" t="n">
        <x:v>0.5813130396658575</x:v>
      </x:c>
      <x:c r="E827" s="40" t="n">
        <x:v>0.10947514313278185</x:v>
      </x:c>
      <x:c r="F827" s="40" t="n">
        <x:v>0.23045661772589765</x:v>
      </x:c>
      <x:c r="G827" s="40" t="n">
        <x:v>0.022364045119334746</x:v>
      </x:c>
      <x:c r="H827" s="40" t="n">
        <x:v>0.3570030359196952</x:v>
      </x:c>
    </x:row>
    <x:row r="828">
      <x:c r="A828" t="n">
        <x:v>779</x:v>
      </x:c>
      <x:c r="B828" s="40" t="n">
        <x:v>0.06504678381559147</x:v>
      </x:c>
      <x:c r="C828" s="40" t="n">
        <x:v>0.07484228789898256</x:v>
      </x:c>
      <x:c r="D828" s="40" t="n">
        <x:v>0.6091868506650118</x:v>
      </x:c>
      <x:c r="E828" s="40" t="n">
        <x:v>0.004994907559594112</x:v>
      </x:c>
      <x:c r="F828" s="40" t="n">
        <x:v>0.23252065674825098</x:v>
      </x:c>
      <x:c r="G828" s="40" t="n">
        <x:v>0.6793748198192486</x:v>
      </x:c>
      <x:c r="H828" s="40" t="n">
        <x:v>0.025221828977323526</x:v>
      </x:c>
    </x:row>
    <x:row r="829">
      <x:c r="A829" t="n">
        <x:v>780</x:v>
      </x:c>
      <x:c r="B829" s="40" t="n">
        <x:v>0.10182484603756141</x:v>
      </x:c>
      <x:c r="C829" s="40" t="n">
        <x:v>0.11253398864358534</x:v>
      </x:c>
      <x:c r="D829" s="40" t="n">
        <x:v>0.7319655232749147</x:v>
      </x:c>
      <x:c r="E829" s="40" t="n">
        <x:v>0.03188838984837003</x:v>
      </x:c>
      <x:c r="F829" s="40" t="n">
        <x:v>0.14923614591989043</x:v>
      </x:c>
      <x:c r="G829" s="40" t="n">
        <x:v>0.035790729893236645</x:v>
      </x:c>
      <x:c r="H829" s="40" t="n">
        <x:v>0.0033370118293773107</x:v>
      </x:c>
    </x:row>
    <x:row r="830">
      <x:c r="A830" t="n">
        <x:v>781</x:v>
      </x:c>
      <x:c r="B830" s="40" t="n">
        <x:v>0.06774153472325184</x:v>
      </x:c>
      <x:c r="C830" s="40" t="n">
        <x:v>0.06464672406071022</x:v>
      </x:c>
      <x:c r="D830" s="40" t="n">
        <x:v>0.7469471851977891</x:v>
      </x:c>
      <x:c r="E830" s="40" t="n">
        <x:v>0.2652978394058767</x:v>
      </x:c>
      <x:c r="F830" s="40" t="n">
        <x:v>0.05619856547943496</x:v>
      </x:c>
      <x:c r="G830" s="40" t="n">
        <x:v>0.3953134845453287</x:v>
      </x:c>
      <x:c r="H830" s="40" t="n">
        <x:v>0.061434651778762416</x:v>
      </x:c>
    </x:row>
    <x:row r="831">
      <x:c r="A831" t="n">
        <x:v>782</x:v>
      </x:c>
      <x:c r="B831" s="40" t="n">
        <x:v>0.06984030199873727</x:v>
      </x:c>
      <x:c r="C831" s="40" t="n">
        <x:v>0.05580897792585165</x:v>
      </x:c>
      <x:c r="D831" s="40" t="n">
        <x:v>0.9028378178119486</x:v>
      </x:c>
      <x:c r="E831" s="40" t="n">
        <x:v>0.028745622385606705</x:v>
      </x:c>
      <x:c r="F831" s="40" t="n">
        <x:v>0.055809010420053616</x:v>
      </x:c>
      <x:c r="G831" s="40" t="n">
        <x:v>0.2556952078673915</x:v>
      </x:c>
      <x:c r="H831" s="40" t="n">
        <x:v>0.13953203739212813</x:v>
      </x:c>
    </x:row>
    <x:row r="832">
      <x:c r="A832" t="n">
        <x:v>783</x:v>
      </x:c>
      <x:c r="B832" s="40" t="n">
        <x:v>0.08125001030808367</x:v>
      </x:c>
      <x:c r="C832" s="40" t="n">
        <x:v>0.11412237379085456</x:v>
      </x:c>
      <x:c r="D832" s="40" t="n">
        <x:v>0.5414903502400655</x:v>
      </x:c>
      <x:c r="E832" s="40" t="n">
        <x:v>0.2793290074042251</x:v>
      </x:c>
      <x:c r="F832" s="40" t="n">
        <x:v>0.2477926758656558</x:v>
      </x:c>
      <x:c r="G832" s="40" t="n">
        <x:v>0.11576620064694611</x:v>
      </x:c>
      <x:c r="H832" s="40" t="n">
        <x:v>0.05290034923815819</x:v>
      </x:c>
    </x:row>
    <x:row r="833">
      <x:c r="A833" t="n">
        <x:v>784</x:v>
      </x:c>
      <x:c r="B833" s="40" t="n">
        <x:v>0.08113056542151698</x:v>
      </x:c>
      <x:c r="C833" s="40" t="n">
        <x:v>0.1032730485991595</x:v>
      </x:c>
      <x:c r="D833" s="40" t="n">
        <x:v>0.5972198952609673</x:v>
      </x:c>
      <x:c r="E833" s="40" t="n">
        <x:v>0.02507190179339997</x:v>
      </x:c>
      <x:c r="F833" s="40" t="n">
        <x:v>0.34988516179464263</x:v>
      </x:c>
      <x:c r="G833" s="40" t="n">
        <x:v>0.3125264557473368</x:v>
      </x:c>
      <x:c r="H833" s="40" t="n">
        <x:v>0.12037584135998727</x:v>
      </x:c>
    </x:row>
    <x:row r="834">
      <x:c r="A834" t="n">
        <x:v>785</x:v>
      </x:c>
      <x:c r="B834" s="40" t="n">
        <x:v>0.06805923491224505</x:v>
      </x:c>
      <x:c r="C834" s="40" t="n">
        <x:v>0.05900679784547075</x:v>
      </x:c>
      <x:c r="D834" s="40" t="n">
        <x:v>0.8237252407034278</x:v>
      </x:c>
      <x:c r="E834" s="40" t="n">
        <x:v>0.20142745129721776</x:v>
      </x:c>
      <x:c r="F834" s="40" t="n">
        <x:v>0.021941463850415958</x:v>
      </x:c>
      <x:c r="G834" s="40" t="n">
        <x:v>0.3895943769133533</x:v>
      </x:c>
      <x:c r="H834" s="40" t="n">
        <x:v>0.09595884600618351</x:v>
      </x:c>
    </x:row>
    <x:row r="835">
      <x:c r="A835" t="n">
        <x:v>786</x:v>
      </x:c>
      <x:c r="B835" s="40" t="n">
        <x:v>0.08606784695104626</x:v>
      </x:c>
      <x:c r="C835" s="40" t="n">
        <x:v>0.0910898805698995</x:v>
      </x:c>
      <x:c r="D835" s="40" t="n">
        <x:v>0.7312996831309118</x:v>
      </x:c>
      <x:c r="E835" s="40" t="n">
        <x:v>0.24563965834547563</x:v>
      </x:c>
      <x:c r="F835" s="40" t="n">
        <x:v>0.10600720194501811</x:v>
      </x:c>
      <x:c r="G835" s="40" t="n">
        <x:v>0.03140262461273334</x:v>
      </x:c>
      <x:c r="H835" s="40" t="n">
        <x:v>0.12395401041787725</x:v>
      </x:c>
    </x:row>
    <x:row r="836">
      <x:c r="A836" t="n">
        <x:v>787</x:v>
      </x:c>
      <x:c r="B836" s="40" t="n">
        <x:v>0.06406842885459035</x:v>
      </x:c>
      <x:c r="C836" s="40" t="n">
        <x:v>0.057842752121178447</x:v>
      </x:c>
      <x:c r="D836" s="40" t="n">
        <x:v>0.7713080907229013</x:v>
      </x:c>
      <x:c r="E836" s="40" t="n">
        <x:v>0.1823549980782824</x:v>
      </x:c>
      <x:c r="F836" s="40" t="n">
        <x:v>0.059259629612161004</x:v>
      </x:c>
      <x:c r="G836" s="40" t="n">
        <x:v>0.5054474023559744</x:v>
      </x:c>
      <x:c r="H836" s="40" t="n">
        <x:v>0.037947562154410835</x:v>
      </x:c>
    </x:row>
    <x:row r="837">
      <x:c r="A837" t="n">
        <x:v>788</x:v>
      </x:c>
      <x:c r="B837" s="40" t="n">
        <x:v>0.09976445822452779</x:v>
      </x:c>
      <x:c r="C837" s="40" t="n">
        <x:v>0.13951887638974697</x:v>
      </x:c>
      <x:c r="D837" s="40" t="n">
        <x:v>0.575625421798362</x:v>
      </x:c>
      <x:c r="E837" s="40" t="n">
        <x:v>0.1684904507849144</x:v>
      </x:c>
      <x:c r="F837" s="40" t="n">
        <x:v>0.3883027297572242</x:v>
      </x:c>
      <x:c r="G837" s="40" t="n">
        <x:v>0.0939451824633539</x:v>
      </x:c>
      <x:c r="H837" s="40" t="n">
        <x:v>0.11310793960792263</x:v>
      </x:c>
    </x:row>
    <x:row r="838">
      <x:c r="A838" t="n">
        <x:v>789</x:v>
      </x:c>
      <x:c r="B838" s="40" t="n">
        <x:v>0.09309856953820922</x:v>
      </x:c>
      <x:c r="C838" s="40" t="n">
        <x:v>0.1469329615528609</x:v>
      </x:c>
      <x:c r="D838" s="40" t="n">
        <x:v>0.5012130879691585</x:v>
      </x:c>
      <x:c r="E838" s="40" t="n">
        <x:v>0.1453067659011944</x:v>
      </x:c>
      <x:c r="F838" s="40" t="n">
        <x:v>0.45434235283306035</x:v>
      </x:c>
      <x:c r="G838" s="40" t="n">
        <x:v>0.1267064867283269</x:v>
      </x:c>
      <x:c r="H838" s="40" t="n">
        <x:v>0.13820325023685917</x:v>
      </x:c>
    </x:row>
    <x:row r="839">
      <x:c r="A839" t="n">
        <x:v>790</x:v>
      </x:c>
      <x:c r="B839" s="40" t="n">
        <x:v>0.08908662410820727</x:v>
      </x:c>
      <x:c r="C839" s="40" t="n">
        <x:v>0.1353991130918154</x:v>
      </x:c>
      <x:c r="D839" s="40" t="n">
        <x:v>0.514277947353632</x:v>
      </x:c>
      <x:c r="E839" s="40" t="n">
        <x:v>0.5605732992234524</x:v>
      </x:c>
      <x:c r="F839" s="40" t="n">
        <x:v>0.1524467632833109</x:v>
      </x:c>
      <x:c r="G839" s="40" t="n">
        <x:v>0.07846206518467787</x:v>
      </x:c>
      <x:c r="H839" s="40" t="n">
        <x:v>0.10465374973441466</x:v>
      </x:c>
    </x:row>
    <x:row r="840">
      <x:c r="A840" t="n">
        <x:v>791</x:v>
      </x:c>
      <x:c r="B840" s="40" t="n">
        <x:v>0.07829809884281147</x:v>
      </x:c>
      <x:c r="C840" s="40" t="n">
        <x:v>0.09744864944253084</x:v>
      </x:c>
      <x:c r="D840" s="40" t="n">
        <x:v>0.603848827311537</x:v>
      </x:c>
      <x:c r="E840" s="40" t="n">
        <x:v>0.1411049091057023</x:v>
      </x:c>
      <x:c r="F840" s="40" t="n">
        <x:v>0.17889527129277372</x:v>
      </x:c>
      <x:c r="G840" s="40" t="n">
        <x:v>0.04641299498653897</x:v>
      </x:c>
      <x:c r="H840" s="40" t="n">
        <x:v>0.6061177555246186</x:v>
      </x:c>
    </x:row>
    <x:row r="841">
      <x:c r="A841" t="n">
        <x:v>792</x:v>
      </x:c>
      <x:c r="B841" s="40" t="n">
        <x:v>0.08783030330311194</x:v>
      </x:c>
      <x:c r="C841" s="40" t="n">
        <x:v>0.1343883919108537</x:v>
      </x:c>
      <x:c r="D841" s="40" t="n">
        <x:v>0.5087973460879209</x:v>
      </x:c>
      <x:c r="E841" s="40" t="n">
        <x:v>0.13786467914651915</x:v>
      </x:c>
      <x:c r="F841" s="40" t="n">
        <x:v>0.4014798347964676</x:v>
      </x:c>
      <x:c r="G841" s="40" t="n">
        <x:v>0.15326373439228003</x:v>
      </x:c>
      <x:c r="H841" s="40" t="n">
        <x:v>0.2668409678765508</x:v>
      </x:c>
    </x:row>
    <x:row r="842">
      <x:c r="A842" t="n">
        <x:v>793</x:v>
      </x:c>
      <x:c r="B842" s="40" t="n">
        <x:v>0.10010712615070214</x:v>
      </x:c>
      <x:c r="C842" s="40" t="n">
        <x:v>0.11508762607817792</x:v>
      </x:c>
      <x:c r="D842" s="40" t="n">
        <x:v>0.7007988846869513</x:v>
      </x:c>
      <x:c r="E842" s="40" t="n">
        <x:v>0.020108999067987163</x:v>
      </x:c>
      <x:c r="F842" s="40" t="n">
        <x:v>0.23586894635816794</x:v>
      </x:c>
      <x:c r="G842" s="40" t="n">
        <x:v>0.021592003198065292</x:v>
      </x:c>
      <x:c r="H842" s="40" t="n">
        <x:v>0.2965090655120827</x:v>
      </x:c>
    </x:row>
    <x:row r="843">
      <x:c r="A843" t="n">
        <x:v>794</x:v>
      </x:c>
      <x:c r="B843" s="40" t="n">
        <x:v>0.06858644476295499</x:v>
      </x:c>
      <x:c r="C843" s="40" t="n">
        <x:v>0.06615863240456679</x:v>
      </x:c>
      <x:c r="D843" s="40" t="n">
        <x:v>0.7426483411666973</x:v>
      </x:c>
      <x:c r="E843" s="40" t="n">
        <x:v>0.12089863840938263</x:v>
      </x:c>
      <x:c r="F843" s="40" t="n">
        <x:v>0.012690879953049454</x:v>
      </x:c>
      <x:c r="G843" s="40" t="n">
        <x:v>0.3719965974135581</x:v>
      </x:c>
      <x:c r="H843" s="40" t="n">
        <x:v>0.34650876414047693</x:v>
      </x:c>
    </x:row>
    <x:row r="844">
      <x:c r="A844" t="n">
        <x:v>795</x:v>
      </x:c>
      <x:c r="B844" s="40" t="n">
        <x:v>0.0785082774231192</x:v>
      </x:c>
      <x:c r="C844" s="40" t="n">
        <x:v>0.07756868773902272</x:v>
      </x:c>
      <x:c r="D844" s="40" t="n">
        <x:v>0.761317910494499</x:v>
      </x:c>
      <x:c r="E844" s="40" t="n">
        <x:v>0.23992197394808285</x:v>
      </x:c>
      <x:c r="F844" s="40" t="n">
        <x:v>0.04064310088077758</x:v>
      </x:c>
      <x:c r="G844" s="40" t="n">
        <x:v>0.3268289300990422</x:v>
      </x:c>
      <x:c r="H844" s="40" t="n">
        <x:v>0.18372362623871683</x:v>
      </x:c>
    </x:row>
    <x:row r="845">
      <x:c r="A845" t="n">
        <x:v>796</x:v>
      </x:c>
      <x:c r="B845" s="40" t="n">
        <x:v>0.1083709093705808</x:v>
      </x:c>
      <x:c r="C845" s="40" t="n">
        <x:v>0.14211596037755014</x:v>
      </x:c>
      <x:c r="D845" s="40" t="n">
        <x:v>0.6256655690220474</x:v>
      </x:c>
      <x:c r="E845" s="40" t="n">
        <x:v>0.011595471757185718</x:v>
      </x:c>
      <x:c r="F845" s="40" t="n">
        <x:v>0.39824567087161733</x:v>
      </x:c>
      <x:c r="G845" s="40" t="n">
        <x:v>0.016869709864467976</x:v>
      </x:c>
      <x:c r="H845" s="40" t="n">
        <x:v>0.17303544988147002</x:v>
      </x:c>
    </x:row>
    <x:row r="846">
      <x:c r="A846" t="n">
        <x:v>797</x:v>
      </x:c>
      <x:c r="B846" s="40" t="n">
        <x:v>0.09170024771636154</x:v>
      </x:c>
      <x:c r="C846" s="40" t="n">
        <x:v>0.10696840048802468</x:v>
      </x:c>
      <x:c r="D846" s="40" t="n">
        <x:v>0.6753994752927385</x:v>
      </x:c>
      <x:c r="E846" s="40" t="n">
        <x:v>0.3007710210424613</x:v>
      </x:c>
      <x:c r="F846" s="40" t="n">
        <x:v>0.14549932965348936</x:v>
      </x:c>
      <x:c r="G846" s="40" t="n">
        <x:v>0.10680159362483524</x:v>
      </x:c>
      <x:c r="H846" s="40" t="n">
        <x:v>0.2256238686465537</x:v>
      </x:c>
    </x:row>
    <x:row r="847">
      <x:c r="A847" t="n">
        <x:v>798</x:v>
      </x:c>
      <x:c r="B847" s="40" t="n">
        <x:v>0.07239662332538956</x:v>
      </x:c>
      <x:c r="C847" s="40" t="n">
        <x:v>0.0673648877238392</x:v>
      </x:c>
      <x:c r="D847" s="40" t="n">
        <x:v>0.7859105679590991</x:v>
      </x:c>
      <x:c r="E847" s="40" t="n">
        <x:v>0.1289548661750685</x:v>
      </x:c>
      <x:c r="F847" s="40" t="n">
        <x:v>0.13555944734716932</x:v>
      </x:c>
      <x:c r="G847" s="40" t="n">
        <x:v>0.38997589698845475</x:v>
      </x:c>
      <x:c r="H847" s="40" t="n">
        <x:v>0.039569973029677075</x:v>
      </x:c>
    </x:row>
    <x:row r="848">
      <x:c r="A848" t="n">
        <x:v>799</x:v>
      </x:c>
      <x:c r="B848" s="40" t="n">
        <x:v>0.09680935930981369</x:v>
      </x:c>
      <x:c r="C848" s="40" t="n">
        <x:v>0.10618690820325906</x:v>
      </x:c>
      <x:c r="D848" s="40" t="n">
        <x:v>0.728484466351506</x:v>
      </x:c>
      <x:c r="E848" s="40" t="n">
        <x:v>0.07272985168807133</x:v>
      </x:c>
      <x:c r="F848" s="40" t="n">
        <x:v>0.2232479422787505</x:v>
      </x:c>
      <x:c r="G848" s="40" t="n">
        <x:v>0.09584039401887004</x:v>
      </x:c>
      <x:c r="H848" s="40" t="n">
        <x:v>0.0013203201151957937</x:v>
      </x:c>
    </x:row>
    <x:row r="849">
      <x:c r="A849" t="n">
        <x:v>800</x:v>
      </x:c>
      <x:c r="B849" s="40" t="n">
        <x:v>0.08079849901198988</x:v>
      </x:c>
      <x:c r="C849" s="40" t="n">
        <x:v>0.08022404332146006</x:v>
      </x:c>
      <x:c r="D849" s="40" t="n">
        <x:v>0.764666679941996</x:v>
      </x:c>
      <x:c r="E849" s="40" t="n">
        <x:v>0.29274026857203206</x:v>
      </x:c>
      <x:c r="F849" s="40" t="n">
        <x:v>0.02022707273941024</x:v>
      </x:c>
      <x:c r="G849" s="40" t="n">
        <x:v>0.09447297483342523</x:v>
      </x:c>
      <x:c r="H849" s="40" t="n">
        <x:v>0.2323818708135355</x:v>
      </x:c>
    </x:row>
    <x:row r="850">
      <x:c r="A850" t="n">
        <x:v>801</x:v>
      </x:c>
      <x:c r="B850" s="40" t="n">
        <x:v>0.08294851326126877</x:v>
      </x:c>
      <x:c r="C850" s="40" t="n">
        <x:v>0.11705607987521688</x:v>
      </x:c>
      <x:c r="D850" s="40" t="n">
        <x:v>0.5424294677825249</x:v>
      </x:c>
      <x:c r="E850" s="40" t="n">
        <x:v>0.27415012221983437</x:v>
      </x:c>
      <x:c r="F850" s="40" t="n">
        <x:v>0.25601790509611205</x:v>
      </x:c>
      <x:c r="G850" s="40" t="n">
        <x:v>0.08391840263677772</x:v>
      </x:c>
      <x:c r="H850" s="40" t="n">
        <x:v>0.0437451627382635</x:v>
      </x:c>
    </x:row>
    <x:row r="851">
      <x:c r="A851" t="n">
        <x:v>802</x:v>
      </x:c>
      <x:c r="B851" s="40" t="n">
        <x:v>0.06479627652124499</x:v>
      </x:c>
      <x:c r="C851" s="40" t="n">
        <x:v>0.055989728958875974</x:v>
      </x:c>
      <x:c r="D851" s="40" t="n">
        <x:v>0.8098347895326035</x:v>
      </x:c>
      <x:c r="E851" s="40" t="n">
        <x:v>0.08674305214949633</x:v>
      </x:c>
      <x:c r="F851" s="40" t="n">
        <x:v>0.010906880722637203</x:v>
      </x:c>
      <x:c r="G851" s="40" t="n">
        <x:v>0.13833022468589862</x:v>
      </x:c>
      <x:c r="H851" s="40" t="n">
        <x:v>0.5159314554233045</x:v>
      </x:c>
    </x:row>
    <x:row r="852">
      <x:c r="A852" t="n">
        <x:v>803</x:v>
      </x:c>
      <x:c r="B852" s="40" t="n">
        <x:v>0.06796615553543073</x:v>
      </x:c>
      <x:c r="C852" s="40" t="n">
        <x:v>0.051549696426558614</x:v>
      </x:c>
      <x:c r="D852" s="40" t="n">
        <x:v>0.9410784688266531</x:v>
      </x:c>
      <x:c r="E852" s="40" t="n">
        <x:v>0.07387484934444037</x:v>
      </x:c>
      <x:c r="F852" s="40" t="n">
        <x:v>0.014347210576897602</x:v>
      </x:c>
      <x:c r="G852" s="40" t="n">
        <x:v>0.11427552499742749</x:v>
      </x:c>
      <x:c r="H852" s="40" t="n">
        <x:v>0.25699726143945295</x:v>
      </x:c>
    </x:row>
    <x:row r="853">
      <x:c r="A853" t="n">
        <x:v>804</x:v>
      </x:c>
      <x:c r="B853" s="40" t="n">
        <x:v>0.08715880384656381</x:v>
      </x:c>
      <x:c r="C853" s="40" t="n">
        <x:v>0.10621372747943739</x:v>
      </x:c>
      <x:c r="D853" s="40" t="n">
        <x:v>0.6374407461203647</x:v>
      </x:c>
      <x:c r="E853" s="40" t="n">
        <x:v>0.4918587111612451</x:v>
      </x:c>
      <x:c r="F853" s="40" t="n">
        <x:v>0.05214810453046627</x:v>
      </x:c>
      <x:c r="G853" s="40" t="n">
        <x:v>0.14452234046709117</x:v>
      </x:c>
      <x:c r="H853" s="40" t="n">
        <x:v>0.032482926507829676</x:v>
      </x:c>
    </x:row>
    <x:row r="854">
      <x:c r="A854" t="n">
        <x:v>805</x:v>
      </x:c>
      <x:c r="B854" s="40" t="n">
        <x:v>0.08910593463348851</x:v>
      </x:c>
      <x:c r="C854" s="40" t="n">
        <x:v>0.15086350465341172</x:v>
      </x:c>
      <x:c r="D854" s="40" t="n">
        <x:v>0.4616894499412466</x:v>
      </x:c>
      <x:c r="E854" s="40" t="n">
        <x:v>0.048016191716042905</x:v>
      </x:c>
      <x:c r="F854" s="40" t="n">
        <x:v>0.5109481396961124</x:v>
      </x:c>
      <x:c r="G854" s="40" t="n">
        <x:v>0.0861268580861001</x:v>
      </x:c>
      <x:c r="H854" s="40" t="n">
        <x:v>0.024872417435812207</x:v>
      </x:c>
    </x:row>
    <x:row r="855">
      <x:c r="A855" t="n">
        <x:v>806</x:v>
      </x:c>
      <x:c r="B855" s="40" t="n">
        <x:v>0.1076451692624559</x:v>
      </x:c>
      <x:c r="C855" s="40" t="n">
        <x:v>0.12658172643217733</x:v>
      </x:c>
      <x:c r="D855" s="40" t="n">
        <x:v>0.6967144910593615</x:v>
      </x:c>
      <x:c r="E855" s="40" t="n">
        <x:v>0.32222447491492506</x:v>
      </x:c>
      <x:c r="F855" s="40" t="n">
        <x:v>0.014225643956807772</x:v>
      </x:c>
      <x:c r="G855" s="40" t="n">
        <x:v>0.009179473679828338</x:v>
      </x:c>
      <x:c r="H855" s="40" t="n">
        <x:v>0.007752114362899795</x:v>
      </x:c>
    </x:row>
    <x:row r="856">
      <x:c r="A856" t="n">
        <x:v>807</x:v>
      </x:c>
      <x:c r="B856" s="40" t="n">
        <x:v>0.07851154479935792</x:v>
      </x:c>
      <x:c r="C856" s="40" t="n">
        <x:v>0.06936062565052464</x:v>
      </x:c>
      <x:c r="D856" s="40" t="n">
        <x:v>0.8514585630048314</x:v>
      </x:c>
      <x:c r="E856" s="40" t="n">
        <x:v>0.1966124985529364</x:v>
      </x:c>
      <x:c r="F856" s="40" t="n">
        <x:v>0.01154730543802282</x:v>
      </x:c>
      <x:c r="G856" s="40" t="n">
        <x:v>0.05728458049065477</x:v>
      </x:c>
      <x:c r="H856" s="40" t="n">
        <x:v>0.05245014484393962</x:v>
      </x:c>
    </x:row>
    <x:row r="857">
      <x:c r="A857" t="n">
        <x:v>808</x:v>
      </x:c>
      <x:c r="B857" s="40" t="n">
        <x:v>0.07982974019498451</x:v>
      </x:c>
      <x:c r="C857" s="40" t="n">
        <x:v>0.093568142529431</x:v>
      </x:c>
      <x:c r="D857" s="40" t="n">
        <x:v>0.6452612225592452</x:v>
      </x:c>
      <x:c r="E857" s="40" t="n">
        <x:v>0.25371842062477423</x:v>
      </x:c>
      <x:c r="F857" s="40" t="n">
        <x:v>0.1466386064081545</x:v>
      </x:c>
      <x:c r="G857" s="40" t="n">
        <x:v>0.05024225657706575</x:v>
      </x:c>
      <x:c r="H857" s="40" t="n">
        <x:v>0.0573279802702684</x:v>
      </x:c>
    </x:row>
    <x:row r="858">
      <x:c r="A858" t="n">
        <x:v>809</x:v>
      </x:c>
      <x:c r="B858" s="40" t="n">
        <x:v>0.08804478989358827</x:v>
      </x:c>
      <x:c r="C858" s="40" t="n">
        <x:v>0.1155114272133949</x:v>
      </x:c>
      <x:c r="D858" s="40" t="n">
        <x:v>0.5938022357998205</x:v>
      </x:c>
      <x:c r="E858" s="40" t="n">
        <x:v>0.14072266771297554</x:v>
      </x:c>
      <x:c r="F858" s="40" t="n">
        <x:v>0.31132121483139236</x:v>
      </x:c>
      <x:c r="G858" s="40" t="n">
        <x:v>0.13081414440128109</x:v>
      </x:c>
      <x:c r="H858" s="40" t="n">
        <x:v>0.21889648077420723</x:v>
      </x:c>
    </x:row>
    <x:row r="859">
      <x:c r="A859" t="n">
        <x:v>810</x:v>
      </x:c>
      <x:c r="B859" s="40" t="n">
        <x:v>0.10523620648689333</x:v>
      </x:c>
      <x:c r="C859" s="40" t="n">
        <x:v>0.12219064132303434</x:v>
      </x:c>
      <x:c r="D859" s="40" t="n">
        <x:v>0.7020370742327564</x:v>
      </x:c>
      <x:c r="E859" s="40" t="n">
        <x:v>0.32032023768043205</x:v>
      </x:c>
      <x:c r="F859" s="40" t="n">
        <x:v>0.07467168999791812</x:v>
      </x:c>
      <x:c r="G859" s="40" t="n">
        <x:v>0.05891042126146318</x:v>
      </x:c>
      <x:c r="H859" s="40" t="n">
        <x:v>0.02602753365971173</x:v>
      </x:c>
    </x:row>
    <x:row r="860">
      <x:c r="A860" t="n">
        <x:v>811</x:v>
      </x:c>
      <x:c r="B860" s="40" t="n">
        <x:v>0.0914434847907814</x:v>
      </x:c>
      <x:c r="C860" s="40" t="n">
        <x:v>0.09565983646483116</x:v>
      </x:c>
      <x:c r="D860" s="40" t="n">
        <x:v>0.7525586630435216</x:v>
      </x:c>
      <x:c r="E860" s="40" t="n">
        <x:v>0.04271531157336144</x:v>
      </x:c>
      <x:c r="F860" s="40" t="n">
        <x:v>0.1251471616639482</x:v>
      </x:c>
      <x:c r="G860" s="40" t="n">
        <x:v>0.007142587511797294</x:v>
      </x:c>
      <x:c r="H860" s="40" t="n">
        <x:v>0.4210601195724641</x:v>
      </x:c>
    </x:row>
    <x:row r="861">
      <x:c r="A861" t="n">
        <x:v>812</x:v>
      </x:c>
      <x:c r="B861" s="40" t="n">
        <x:v>0.08609576001862017</x:v>
      </x:c>
      <x:c r="C861" s="40" t="n">
        <x:v>0.09606916336228802</x:v>
      </x:c>
      <x:c r="D861" s="40" t="n">
        <x:v>0.6936868349051775</x:v>
      </x:c>
      <x:c r="E861" s="40" t="n">
        <x:v>0.015327359959422738</x:v>
      </x:c>
      <x:c r="F861" s="40" t="n">
        <x:v>0.19723608709772464</x:v>
      </x:c>
      <x:c r="G861" s="40" t="n">
        <x:v>0.04085041985820629</x:v>
      </x:c>
      <x:c r="H861" s="40" t="n">
        <x:v>0.544369392737154</x:v>
      </x:c>
    </x:row>
    <x:row r="862">
      <x:c r="A862" t="n">
        <x:v>813</x:v>
      </x:c>
      <x:c r="B862" s="40" t="n">
        <x:v>0.09789159451104544</x:v>
      </x:c>
      <x:c r="C862" s="40" t="n">
        <x:v>0.16303610906260943</x:v>
      </x:c>
      <x:c r="D862" s="40" t="n">
        <x:v>0.4811066015263985</x:v>
      </x:c>
      <x:c r="E862" s="40" t="n">
        <x:v>0.24018886750532895</x:v>
      </x:c>
      <x:c r="F862" s="40" t="n">
        <x:v>0.4666627122259532</x:v>
      </x:c>
      <x:c r="G862" s="40" t="n">
        <x:v>0.05383059518582996</x:v>
      </x:c>
      <x:c r="H862" s="40" t="n">
        <x:v>0.01956533784941077</x:v>
      </x:c>
    </x:row>
    <x:row r="863">
      <x:c r="A863" t="n">
        <x:v>814</x:v>
      </x:c>
      <x:c r="B863" s="40" t="n">
        <x:v>0.08194298798724406</x:v>
      </x:c>
      <x:c r="C863" s="40" t="n">
        <x:v>0.1042685969608842</x:v>
      </x:c>
      <x:c r="D863" s="40" t="n">
        <x:v>0.5993093189586158</x:v>
      </x:c>
      <x:c r="E863" s="40" t="n">
        <x:v>0.49273720520244657</x:v>
      </x:c>
      <x:c r="F863" s="40" t="n">
        <x:v>0.0705860538135031</x:v>
      </x:c>
      <x:c r="G863" s="40" t="n">
        <x:v>0.2095172446636802</x:v>
      </x:c>
      <x:c r="H863" s="40" t="n">
        <x:v>0.08371076375815714</x:v>
      </x:c>
    </x:row>
    <x:row r="864">
      <x:c r="A864" t="n">
        <x:v>815</x:v>
      </x:c>
      <x:c r="B864" s="40" t="n">
        <x:v>0.08557743964015758</x:v>
      </x:c>
      <x:c r="C864" s="40" t="n">
        <x:v>0.08630811693241022</x:v>
      </x:c>
      <x:c r="D864" s="40" t="n">
        <x:v>0.766134123145037</x:v>
      </x:c>
      <x:c r="E864" s="40" t="n">
        <x:v>0.014009974464792171</x:v>
      </x:c>
      <x:c r="F864" s="40" t="n">
        <x:v>0.09123474044084429</x:v>
      </x:c>
      <x:c r="G864" s="40" t="n">
        <x:v>0.26261417228286077</x:v>
      </x:c>
      <x:c r="H864" s="40" t="n">
        <x:v>0.015068687604178474</x:v>
      </x:c>
    </x:row>
    <x:row r="865">
      <x:c r="A865" t="n">
        <x:v>816</x:v>
      </x:c>
      <x:c r="B865" s="40" t="n">
        <x:v>0.11614618855436709</x:v>
      </x:c>
      <x:c r="C865" s="40" t="n">
        <x:v>0.14766294062653626</x:v>
      </x:c>
      <x:c r="D865" s="40" t="n">
        <x:v>0.6548179386801709</x:v>
      </x:c>
      <x:c r="E865" s="40" t="n">
        <x:v>0.0386342832362527</x:v>
      </x:c>
      <x:c r="F865" s="40" t="n">
        <x:v>0.10580486356714641</x:v>
      </x:c>
      <x:c r="G865" s="40" t="n">
        <x:v>0.011283856356007621</x:v>
      </x:c>
      <x:c r="H865" s="40" t="n">
        <x:v>0.03357593386419774</x:v>
      </x:c>
    </x:row>
    <x:row r="866">
      <x:c r="A866" t="n">
        <x:v>817</x:v>
      </x:c>
      <x:c r="B866" s="40" t="n">
        <x:v>0.07880282318011245</x:v>
      </x:c>
      <x:c r="C866" s="40" t="n">
        <x:v>0.06954488100892255</x:v>
      </x:c>
      <x:c r="D866" s="40" t="n">
        <x:v>0.8533910212406844</x:v>
      </x:c>
      <x:c r="E866" s="40" t="n">
        <x:v>0.20039539594996245</x:v>
      </x:c>
      <x:c r="F866" s="40" t="n">
        <x:v>0.01212000210434795</x:v>
      </x:c>
      <x:c r="G866" s="40" t="n">
        <x:v>0.09331502509194084</x:v>
      </x:c>
      <x:c r="H866" s="40" t="n">
        <x:v>0.006641785913887</x:v>
      </x:c>
    </x:row>
    <x:row r="867">
      <x:c r="A867" t="n">
        <x:v>818</x:v>
      </x:c>
      <x:c r="B867" s="40" t="n">
        <x:v>0.08234545855051613</x:v>
      </x:c>
      <x:c r="C867" s="40" t="n">
        <x:v>0.09355611008985344</x:v>
      </x:c>
      <x:c r="D867" s="40" t="n">
        <x:v>0.6722341527054452</x:v>
      </x:c>
      <x:c r="E867" s="40" t="n">
        <x:v>0.3609494366438112</x:v>
      </x:c>
      <x:c r="F867" s="40" t="n">
        <x:v>0.1110736671399324</x:v>
      </x:c>
      <x:c r="G867" s="40" t="n">
        <x:v>0.30361339807132165</x:v>
      </x:c>
      <x:c r="H867" s="40" t="n">
        <x:v>0.08020420064492492</x:v>
      </x:c>
    </x:row>
    <x:row r="868">
      <x:c r="A868" t="n">
        <x:v>819</x:v>
      </x:c>
      <x:c r="B868" s="40" t="n">
        <x:v>0.06962391996754033</x:v>
      </x:c>
      <x:c r="C868" s="40" t="n">
        <x:v>0.06981185824101065</x:v>
      </x:c>
      <x:c r="D868" s="40" t="n">
        <x:v>0.7186468757283703</x:v>
      </x:c>
      <x:c r="E868" s="40" t="n">
        <x:v>0.20196478010513697</x:v>
      </x:c>
      <x:c r="F868" s="40" t="n">
        <x:v>0.09727242650042475</x:v>
      </x:c>
      <x:c r="G868" s="40" t="n">
        <x:v>0.18150939744409342</x:v>
      </x:c>
      <x:c r="H868" s="40" t="n">
        <x:v>0.039223819314625104</x:v>
      </x:c>
    </x:row>
    <x:row r="869">
      <x:c r="A869" t="n">
        <x:v>820</x:v>
      </x:c>
      <x:c r="B869" s="40" t="n">
        <x:v>0.08374204235593832</x:v>
      </x:c>
      <x:c r="C869" s="40" t="n">
        <x:v>0.09504797621628443</x:v>
      </x:c>
      <x:c r="D869" s="40" t="n">
        <x:v>0.6763762760798032</x:v>
      </x:c>
      <x:c r="E869" s="40" t="n">
        <x:v>0.05795896196065251</x:v>
      </x:c>
      <x:c r="F869" s="40" t="n">
        <x:v>0.28077061513544177</x:v>
      </x:c>
      <x:c r="G869" s="40" t="n">
        <x:v>0.2757634141370216</x:v>
      </x:c>
      <x:c r="H869" s="40" t="n">
        <x:v>0.08061111445215337</x:v>
      </x:c>
    </x:row>
    <x:row r="870">
      <x:c r="A870" t="n">
        <x:v>821</x:v>
      </x:c>
      <x:c r="B870" s="40" t="n">
        <x:v>0.08471506431427242</x:v>
      </x:c>
      <x:c r="C870" s="40" t="n">
        <x:v>0.12947374771086279</x:v>
      </x:c>
      <x:c r="D870" s="40" t="n">
        <x:v>0.5040498117515361</x:v>
      </x:c>
      <x:c r="E870" s="40" t="n">
        <x:v>0.055186803299790324</x:v>
      </x:c>
      <x:c r="F870" s="40" t="n">
        <x:v>0.4012929587203076</x:v>
      </x:c>
      <x:c r="G870" s="40" t="n">
        <x:v>0.03008453634359225</x:v>
      </x:c>
      <x:c r="H870" s="40" t="n">
        <x:v>0.11037318239343438</x:v>
      </x:c>
    </x:row>
    <x:row r="871">
      <x:c r="A871" t="n">
        <x:v>822</x:v>
      </x:c>
      <x:c r="B871" s="40" t="n">
        <x:v>0.10193816544717663</x:v>
      </x:c>
      <x:c r="C871" s="40" t="n">
        <x:v>0.13313707876953873</x:v>
      </x:c>
      <x:c r="D871" s="40" t="n">
        <x:v>0.619544307683898</x:v>
      </x:c>
      <x:c r="E871" s="40" t="n">
        <x:v>0.5769174502327878</x:v>
      </x:c>
      <x:c r="F871" s="40" t="n">
        <x:v>0.05412990129851001</x:v>
      </x:c>
      <x:c r="G871" s="40" t="n">
        <x:v>0.016051806309798314</x:v>
      </x:c>
      <x:c r="H871" s="40" t="n">
        <x:v>0.02712048772765157</x:v>
      </x:c>
    </x:row>
    <x:row r="872">
      <x:c r="A872" t="n">
        <x:v>823</x:v>
      </x:c>
      <x:c r="B872" s="40" t="n">
        <x:v>0.08331542963297382</x:v>
      </x:c>
      <x:c r="C872" s="40" t="n">
        <x:v>0.08751662501700423</x:v>
      </x:c>
      <x:c r="D872" s="40" t="n">
        <x:v>0.7297080236665838</x:v>
      </x:c>
      <x:c r="E872" s="40" t="n">
        <x:v>0.2198261164816379</x:v>
      </x:c>
      <x:c r="F872" s="40" t="n">
        <x:v>0.1376545950691186</x:v>
      </x:c>
      <x:c r="G872" s="40" t="n">
        <x:v>0.3107282560296737</x:v>
      </x:c>
      <x:c r="H872" s="40" t="n">
        <x:v>0.11921740321024939</x:v>
      </x:c>
    </x:row>
    <x:row r="873">
      <x:c r="A873" t="n">
        <x:v>824</x:v>
      </x:c>
      <x:c r="B873" s="40" t="n">
        <x:v>0.07174621442927974</x:v>
      </x:c>
      <x:c r="C873" s="40" t="n">
        <x:v>0.07813852456739655</x:v>
      </x:c>
      <x:c r="D873" s="40" t="n">
        <x:v>0.6692264611463201</x:v>
      </x:c>
      <x:c r="E873" s="40" t="n">
        <x:v>0.32697810603032873</x:v>
      </x:c>
      <x:c r="F873" s="40" t="n">
        <x:v>0.02908872252236212</x:v>
      </x:c>
      <x:c r="G873" s="40" t="n">
        <x:v>0.09302459882257175</x:v>
      </x:c>
      <x:c r="H873" s="40" t="n">
        <x:v>0.14687146444476137</x:v>
      </x:c>
    </x:row>
    <x:row r="874">
      <x:c r="A874" t="n">
        <x:v>825</x:v>
      </x:c>
      <x:c r="B874" s="40" t="n">
        <x:v>0.08707152770424159</x:v>
      </x:c>
      <x:c r="C874" s="40" t="n">
        <x:v>0.09846381528631534</x:v>
      </x:c>
      <x:c r="D874" s="40" t="n">
        <x:v>0.6867261983884657</x:v>
      </x:c>
      <x:c r="E874" s="40" t="n">
        <x:v>0.2707061086931283</x:v>
      </x:c>
      <x:c r="F874" s="40" t="n">
        <x:v>0.16025626657936523</x:v>
      </x:c>
      <x:c r="G874" s="40" t="n">
        <x:v>0.1587983822005457</x:v>
      </x:c>
      <x:c r="H874" s="40" t="n">
        <x:v>0.11309862335094753</x:v>
      </x:c>
    </x:row>
    <x:row r="875">
      <x:c r="A875" t="n">
        <x:v>826</x:v>
      </x:c>
      <x:c r="B875" s="40" t="n">
        <x:v>0.08788818705140708</x:v>
      </x:c>
      <x:c r="C875" s="40" t="n">
        <x:v>0.08437848317162402</x:v>
      </x:c>
      <x:c r="D875" s="40" t="n">
        <x:v>0.8110401885083303</x:v>
      </x:c>
      <x:c r="E875" s="40" t="n">
        <x:v>0.017012768905434832</x:v>
      </x:c>
      <x:c r="F875" s="40" t="n">
        <x:v>0.11171566507703795</x:v>
      </x:c>
      <x:c r="G875" s="40" t="n">
        <x:v>0.015255703861783694</x:v>
      </x:c>
      <x:c r="H875" s="40" t="n">
        <x:v>0.02049114253889924</x:v>
      </x:c>
    </x:row>
    <x:row r="876">
      <x:c r="A876" t="n">
        <x:v>827</x:v>
      </x:c>
      <x:c r="B876" s="40" t="n">
        <x:v>0.09831991366800369</x:v>
      </x:c>
      <x:c r="C876" s="40" t="n">
        <x:v>0.10741364933439139</x:v>
      </x:c>
      <x:c r="D876" s="40" t="n">
        <x:v>0.7342276144872254</x:v>
      </x:c>
      <x:c r="E876" s="40" t="n">
        <x:v>0.03481108861027722</x:v>
      </x:c>
      <x:c r="F876" s="40" t="n">
        <x:v>0.21047899217881513</x:v>
      </x:c>
      <x:c r="G876" s="40" t="n">
        <x:v>0.0030691634777977646</x:v>
      </x:c>
      <x:c r="H876" s="40" t="n">
        <x:v>0.05206940794250179</x:v>
      </x:c>
    </x:row>
    <x:row r="877">
      <x:c r="A877" t="n">
        <x:v>828</x:v>
      </x:c>
      <x:c r="B877" s="40" t="n">
        <x:v>0.08002730712828615</x:v>
      </x:c>
      <x:c r="C877" s="40" t="n">
        <x:v>0.08264137950470309</x:v>
      </x:c>
      <x:c r="D877" s="40" t="n">
        <x:v>0.7329676892795913</x:v>
      </x:c>
      <x:c r="E877" s="40" t="n">
        <x:v>0.006452548545483881</x:v>
      </x:c>
      <x:c r="F877" s="40" t="n">
        <x:v>0.22049733083346562</x:v>
      </x:c>
      <x:c r="G877" s="40" t="n">
        <x:v>0.3207345492555924</x:v>
      </x:c>
      <x:c r="H877" s="40" t="n">
        <x:v>0.14524132942765866</x:v>
      </x:c>
    </x:row>
    <x:row r="878">
      <x:c r="A878" t="n">
        <x:v>829</x:v>
      </x:c>
      <x:c r="B878" s="40" t="n">
        <x:v>0.10004609086261698</x:v>
      </x:c>
      <x:c r="C878" s="40" t="n">
        <x:v>0.11314801554659087</x:v>
      </x:c>
      <x:c r="D878" s="40" t="n">
        <x:v>0.7122727192293127</x:v>
      </x:c>
      <x:c r="E878" s="40" t="n">
        <x:v>0.1266816351915011</x:v>
      </x:c>
      <x:c r="F878" s="40" t="n">
        <x:v>0.022994190439610682</x:v>
      </x:c>
      <x:c r="G878" s="40" t="n">
        <x:v>0.06579810279288936</x:v>
      </x:c>
      <x:c r="H878" s="40" t="n">
        <x:v>0.14096053211180212</x:v>
      </x:c>
    </x:row>
    <x:row r="879">
      <x:c r="A879" t="n">
        <x:v>830</x:v>
      </x:c>
      <x:c r="B879" s="40" t="n">
        <x:v>0.07358136969363195</x:v>
      </x:c>
      <x:c r="C879" s="40" t="n">
        <x:v>0.060273656127201744</x:v>
      </x:c>
      <x:c r="D879" s="40" t="n">
        <x:v>0.8980295375736769</x:v>
      </x:c>
      <x:c r="E879" s="40" t="n">
        <x:v>0.024117252248856094</x:v>
      </x:c>
      <x:c r="F879" s="40" t="n">
        <x:v>0.05923211351069453</x:v>
      </x:c>
      <x:c r="G879" s="40" t="n">
        <x:v>0.0714151067422806</x:v>
      </x:c>
      <x:c r="H879" s="40" t="n">
        <x:v>0.2875249556837581</x:v>
      </x:c>
    </x:row>
    <x:row r="880">
      <x:c r="A880" t="n">
        <x:v>831</x:v>
      </x:c>
      <x:c r="B880" s="40" t="n">
        <x:v>0.08733449515510928</x:v>
      </x:c>
      <x:c r="C880" s="40" t="n">
        <x:v>0.10562567501236561</x:v>
      </x:c>
      <x:c r="D880" s="40" t="n">
        <x:v>0.6426529249949535</x:v>
      </x:c>
      <x:c r="E880" s="40" t="n">
        <x:v>0.011162394637031094</x:v>
      </x:c>
      <x:c r="F880" s="40" t="n">
        <x:v>0.33351306091952204</x:v>
      </x:c>
      <x:c r="G880" s="40" t="n">
        <x:v>0.2172196413338036</x:v>
      </x:c>
      <x:c r="H880" s="40" t="n">
        <x:v>0.12847831166771567</x:v>
      </x:c>
    </x:row>
    <x:row r="881">
      <x:c r="A881" t="n">
        <x:v>832</x:v>
      </x:c>
      <x:c r="B881" s="40" t="n">
        <x:v>0.09567283531835998</x:v>
      </x:c>
      <x:c r="C881" s="40" t="n">
        <x:v>0.14645493556845776</x:v>
      </x:c>
      <x:c r="D881" s="40" t="n">
        <x:v>0.52042622441281</x:v>
      </x:c>
      <x:c r="E881" s="40" t="n">
        <x:v>0.6735545081972117</x:v>
      </x:c>
      <x:c r="F881" s="40" t="n">
        <x:v>0.11233422079876146</x:v>
      </x:c>
      <x:c r="G881" s="40" t="n">
        <x:v>0.04546211064508508</x:v>
      </x:c>
      <x:c r="H881" s="40" t="n">
        <x:v>0.013511221852377783</x:v>
      </x:c>
    </x:row>
    <x:row r="882">
      <x:c r="A882" t="n">
        <x:v>833</x:v>
      </x:c>
      <x:c r="B882" s="40" t="n">
        <x:v>0.08999937883096437</x:v>
      </x:c>
      <x:c r="C882" s="40" t="n">
        <x:v>0.12135440209126615</x:v>
      </x:c>
      <x:c r="D882" s="40" t="n">
        <x:v>0.581318283156004</x:v>
      </x:c>
      <x:c r="E882" s="40" t="n">
        <x:v>0.4544097759198696</x:v>
      </x:c>
      <x:c r="F882" s="40" t="n">
        <x:v>0.16235430331291897</x:v>
      </x:c>
      <x:c r="G882" s="40" t="n">
        <x:v>0.10288647265435887</x:v>
      </x:c>
      <x:c r="H882" s="40" t="n">
        <x:v>0.019208164204591743</x:v>
      </x:c>
    </x:row>
    <x:row r="883">
      <x:c r="A883" t="n">
        <x:v>834</x:v>
      </x:c>
      <x:c r="B883" s="40" t="n">
        <x:v>0.07456980823746132</x:v>
      </x:c>
      <x:c r="C883" s="40" t="n">
        <x:v>0.071061769562084</x:v>
      </x:c>
      <x:c r="D883" s="40" t="n">
        <x:v>0.7756063833375612</x:v>
      </x:c>
      <x:c r="E883" s="40" t="n">
        <x:v>0.04570858391023189</x:v>
      </x:c>
      <x:c r="F883" s="40" t="n">
        <x:v>0.06773379399694227</x:v>
      </x:c>
      <x:c r="G883" s="40" t="n">
        <x:v>0.19398522380480127</x:v>
      </x:c>
      <x:c r="H883" s="40" t="n">
        <x:v>0.47568704818688723</x:v>
      </x:c>
    </x:row>
    <x:row r="884">
      <x:c r="A884" t="n">
        <x:v>835</x:v>
      </x:c>
      <x:c r="B884" s="40" t="n">
        <x:v>0.08891909713682604</x:v>
      </x:c>
      <x:c r="C884" s="40" t="n">
        <x:v>0.09561002564638477</x:v>
      </x:c>
      <x:c r="D884" s="40" t="n">
        <x:v>0.7265477706270914</x:v>
      </x:c>
      <x:c r="E884" s="40" t="n">
        <x:v>0.16477313167853552</x:v>
      </x:c>
      <x:c r="F884" s="40" t="n">
        <x:v>0.1620915727703434</x:v>
      </x:c>
      <x:c r="G884" s="40" t="n">
        <x:v>0.017345027884062267</x:v>
      </x:c>
      <x:c r="H884" s="40" t="n">
        <x:v>0.15564074544798934</x:v>
      </x:c>
    </x:row>
    <x:row r="885">
      <x:c r="A885" t="n">
        <x:v>836</x:v>
      </x:c>
      <x:c r="B885" s="40" t="n">
        <x:v>0.08286635054310651</x:v>
      </x:c>
      <x:c r="C885" s="40" t="n">
        <x:v>0.09320519091856659</x:v>
      </x:c>
      <x:c r="D885" s="40" t="n">
        <x:v>0.6803537846369939</x:v>
      </x:c>
      <x:c r="E885" s="40" t="n">
        <x:v>0.048058710275416416</x:v>
      </x:c>
      <x:c r="F885" s="40" t="n">
        <x:v>0.1681895165162421</x:v>
      </x:c>
      <x:c r="G885" s="40" t="n">
        <x:v>0.016511282847369517</x:v>
      </x:c>
      <x:c r="H885" s="40" t="n">
        <x:v>0.6362355656455735</x:v>
      </x:c>
    </x:row>
    <x:row r="886">
      <x:c r="A886" t="n">
        <x:v>837</x:v>
      </x:c>
      <x:c r="B886" s="40" t="n">
        <x:v>0.08873073328358437</x:v>
      </x:c>
      <x:c r="C886" s="40" t="n">
        <x:v>0.09482540849149523</x:v>
      </x:c>
      <x:c r="D886" s="40" t="n">
        <x:v>0.7305730418862532</x:v>
      </x:c>
      <x:c r="E886" s="40" t="n">
        <x:v>0.0053094227594872425</x:v>
      </x:c>
      <x:c r="F886" s="40" t="n">
        <x:v>0.21017167213426377</x:v>
      </x:c>
      <x:c r="G886" s="40" t="n">
        <x:v>0.30808396707624086</x:v>
      </x:c>
      <x:c r="H886" s="40" t="n">
        <x:v>0.06682670531915963</x:v>
      </x:c>
    </x:row>
    <x:row r="887">
      <x:c r="A887" t="n">
        <x:v>838</x:v>
      </x:c>
      <x:c r="B887" s="40" t="n">
        <x:v>0.09092586801036165</x:v>
      </x:c>
      <x:c r="C887" s="40" t="n">
        <x:v>0.10589363972950232</x:v>
      </x:c>
      <x:c r="D887" s="40" t="n">
        <x:v>0.6749415927064707</x:v>
      </x:c>
      <x:c r="E887" s="40" t="n">
        <x:v>0.024786137965146414</x:v>
      </x:c>
      <x:c r="F887" s="40" t="n">
        <x:v>0.2964878683717772</x:v>
      </x:c>
      <x:c r="G887" s="40" t="n">
        <x:v>0.08578551947037401</x:v>
      </x:c>
      <x:c r="H887" s="40" t="n">
        <x:v>0.1036813678177609</x:v>
      </x:c>
    </x:row>
    <x:row r="888">
      <x:c r="A888" t="n">
        <x:v>839</x:v>
      </x:c>
      <x:c r="B888" s="40" t="n">
        <x:v>0.08962995553809236</x:v>
      </x:c>
      <x:c r="C888" s="40" t="n">
        <x:v>0.1113924917493689</x:v>
      </x:c>
      <x:c r="D888" s="40" t="n">
        <x:v>0.6299895826205342</x:v>
      </x:c>
      <x:c r="E888" s="40" t="n">
        <x:v>0.11756319159511718</x:v>
      </x:c>
      <x:c r="F888" s="40" t="n">
        <x:v>0.3049022067906413</x:v>
      </x:c>
      <x:c r="G888" s="40" t="n">
        <x:v>0.12734946585930002</x:v>
      </x:c>
      <x:c r="H888" s="40" t="n">
        <x:v>0.096336382510287</x:v>
      </x:c>
    </x:row>
    <x:row r="889">
      <x:c r="A889" t="n">
        <x:v>840</x:v>
      </x:c>
      <x:c r="B889" s="40" t="n">
        <x:v>0.09304729750347077</x:v>
      </x:c>
      <x:c r="C889" s="40" t="n">
        <x:v>0.10701860887470384</x:v>
      </x:c>
      <x:c r="D889" s="40" t="n">
        <x:v>0.6876696690739736</x:v>
      </x:c>
      <x:c r="E889" s="40" t="n">
        <x:v>0.10572861066704074</x:v>
      </x:c>
      <x:c r="F889" s="40" t="n">
        <x:v>0.2753572483221676</x:v>
      </x:c>
      <x:c r="G889" s="40" t="n">
        <x:v>0.295038764293582</x:v>
      </x:c>
      <x:c r="H889" s="40" t="n">
        <x:v>0.0077618072369367574</x:v>
      </x:c>
    </x:row>
    <x:row r="890">
      <x:c r="A890" t="n">
        <x:v>841</x:v>
      </x:c>
      <x:c r="B890" s="40" t="n">
        <x:v>0.08247182649356183</x:v>
      </x:c>
      <x:c r="C890" s="40" t="n">
        <x:v>0.1130918285204193</x:v>
      </x:c>
      <x:c r="D890" s="40" t="n">
        <x:v>0.5572284148570245</x:v>
      </x:c>
      <x:c r="E890" s="40" t="n">
        <x:v>0.2910178111290426</x:v>
      </x:c>
      <x:c r="F890" s="40" t="n">
        <x:v>0.2850429000354723</x:v>
      </x:c>
      <x:c r="G890" s="40" t="n">
        <x:v>0.35367311879739405</x:v>
      </x:c>
      <x:c r="H890" s="40" t="n">
        <x:v>0.029405111866199006</x:v>
      </x:c>
    </x:row>
    <x:row r="891">
      <x:c r="A891" t="n">
        <x:v>842</x:v>
      </x:c>
      <x:c r="B891" s="40" t="n">
        <x:v>0.08183466787054719</x:v>
      </x:c>
      <x:c r="C891" s="40" t="n">
        <x:v>0.10028667545002104</x:v>
      </x:c>
      <x:c r="D891" s="40" t="n">
        <x:v>0.6220250241298426</x:v>
      </x:c>
      <x:c r="E891" s="40" t="n">
        <x:v>0.31091975441431763</x:v>
      </x:c>
      <x:c r="F891" s="40" t="n">
        <x:v>0.10053178750266827</x:v>
      </x:c>
      <x:c r="G891" s="40" t="n">
        <x:v>0.02717976310729602</x:v>
      </x:c>
      <x:c r="H891" s="40" t="n">
        <x:v>0.4843181411622094</x:v>
      </x:c>
    </x:row>
    <x:row r="892">
      <x:c r="A892" t="n">
        <x:v>843</x:v>
      </x:c>
      <x:c r="B892" s="40" t="n">
        <x:v>0.08687591087364942</x:v>
      </x:c>
      <x:c r="C892" s="40" t="n">
        <x:v>0.10932769175241266</x:v>
      </x:c>
      <x:c r="D892" s="40" t="n">
        <x:v>0.616697047555798</x:v>
      </x:c>
      <x:c r="E892" s="40" t="n">
        <x:v>0.304706965614063</x:v>
      </x:c>
      <x:c r="F892" s="40" t="n">
        <x:v>0.23596383292240855</x:v>
      </x:c>
      <x:c r="G892" s="40" t="n">
        <x:v>0.28240494765463053</x:v>
      </x:c>
      <x:c r="H892" s="40" t="n">
        <x:v>0.019234199816968247</x:v>
      </x:c>
    </x:row>
    <x:row r="893">
      <x:c r="A893" t="n">
        <x:v>844</x:v>
      </x:c>
      <x:c r="B893" s="40" t="n">
        <x:v>0.09696252880975514</x:v>
      </x:c>
      <x:c r="C893" s="40" t="n">
        <x:v>0.14796020134819052</x:v>
      </x:c>
      <x:c r="D893" s="40" t="n">
        <x:v>0.5238481831577805</x:v>
      </x:c>
      <x:c r="E893" s="40" t="n">
        <x:v>0.7250499215195815</x:v>
      </x:c>
      <x:c r="F893" s="40" t="n">
        <x:v>0.07611041879263229</x:v>
      </x:c>
      <x:c r="G893" s="40" t="n">
        <x:v>0.05443075829454184</x:v>
      </x:c>
      <x:c r="H893" s="40" t="n">
        <x:v>0.015897089143733906</x:v>
      </x:c>
    </x:row>
    <x:row r="894">
      <x:c r="A894" t="n">
        <x:v>845</x:v>
      </x:c>
      <x:c r="B894" s="40" t="n">
        <x:v>0.07161335388594293</x:v>
      </x:c>
      <x:c r="C894" s="40" t="n">
        <x:v>0.06245685759632018</x:v>
      </x:c>
      <x:c r="D894" s="40" t="n">
        <x:v>0.8351285949930646</x:v>
      </x:c>
      <x:c r="E894" s="40" t="n">
        <x:v>0.0487103400239795</x:v>
      </x:c>
      <x:c r="F894" s="40" t="n">
        <x:v>0.044837099574711145</x:v>
      </x:c>
      <x:c r="G894" s="40" t="n">
        <x:v>0.002808511719855793</x:v>
      </x:c>
      <x:c r="H894" s="40" t="n">
        <x:v>0.516556071196451</x:v>
      </x:c>
    </x:row>
    <x:row r="895">
      <x:c r="A895" t="n">
        <x:v>846</x:v>
      </x:c>
      <x:c r="B895" s="40" t="n">
        <x:v>0.10326966537762078</x:v>
      </x:c>
      <x:c r="C895" s="40" t="n">
        <x:v>0.15004438647898283</x:v>
      </x:c>
      <x:c r="D895" s="40" t="n">
        <x:v>0.5586068308894379</x:v>
      </x:c>
      <x:c r="E895" s="40" t="n">
        <x:v>0.02716763240358907</x:v>
      </x:c>
      <x:c r="F895" s="40" t="n">
        <x:v>0.4881383558636853</x:v>
      </x:c>
      <x:c r="G895" s="40" t="n">
        <x:v>0.07199949873543446</x:v>
      </x:c>
      <x:c r="H895" s="40" t="n">
        <x:v>0.11050031997268654</x:v>
      </x:c>
    </x:row>
    <x:row r="896">
      <x:c r="A896" t="n">
        <x:v>847</x:v>
      </x:c>
      <x:c r="B896" s="40" t="n">
        <x:v>0.08693849639531501</x:v>
      </x:c>
      <x:c r="C896" s="40" t="n">
        <x:v>0.09766168712460549</x:v>
      </x:c>
      <x:c r="D896" s="40" t="n">
        <x:v>0.6910043460069035</x:v>
      </x:c>
      <x:c r="E896" s="40" t="n">
        <x:v>0.39004732695129446</x:v>
      </x:c>
      <x:c r="F896" s="40" t="n">
        <x:v>0.030733240421504646</x:v>
      </x:c>
      <x:c r="G896" s="40" t="n">
        <x:v>0.10416722302070808</x:v>
      </x:c>
      <x:c r="H896" s="40" t="n">
        <x:v>0.2645547913959406</x:v>
      </x:c>
    </x:row>
    <x:row r="897">
      <x:c r="A897" t="n">
        <x:v>848</x:v>
      </x:c>
      <x:c r="B897" s="40" t="n">
        <x:v>0.09106129083237631</x:v>
      </x:c>
      <x:c r="C897" s="40" t="n">
        <x:v>0.12103328509035875</x:v>
      </x:c>
      <x:c r="D897" s="40" t="n">
        <x:v>0.5916343146851778</x:v>
      </x:c>
      <x:c r="E897" s="40" t="n">
        <x:v>0.013959779960624308</x:v>
      </x:c>
      <x:c r="F897" s="40" t="n">
        <x:v>0.3626925221069342</x:v>
      </x:c>
      <x:c r="G897" s="40" t="n">
        <x:v>0.07400995148573727</x:v>
      </x:c>
      <x:c r="H897" s="40" t="n">
        <x:v>0.35205129658500395</x:v>
      </x:c>
    </x:row>
    <x:row r="898">
      <x:c r="A898" t="n">
        <x:v>849</x:v>
      </x:c>
      <x:c r="B898" s="40" t="n">
        <x:v>0.08593387898270782</x:v>
      </x:c>
      <x:c r="C898" s="40" t="n">
        <x:v>0.08572584634892982</x:v>
      </x:c>
      <x:c r="D898" s="40" t="n">
        <x:v>0.7754957887294347</x:v>
      </x:c>
      <x:c r="E898" s="40" t="n">
        <x:v>0.02338620762835219</x:v>
      </x:c>
      <x:c r="F898" s="40" t="n">
        <x:v>0.182428174426148</x:v>
      </x:c>
      <x:c r="G898" s="40" t="n">
        <x:v>0.2468690246207684</x:v>
      </x:c>
      <x:c r="H898" s="40" t="n">
        <x:v>0.014960254592400607</x:v>
      </x:c>
    </x:row>
    <x:row r="899">
      <x:c r="A899" t="n">
        <x:v>850</x:v>
      </x:c>
      <x:c r="B899" s="40" t="n">
        <x:v>0.06833639044935366</x:v>
      </x:c>
      <x:c r="C899" s="40" t="n">
        <x:v>0.07930014400181119</x:v>
      </x:c>
      <x:c r="D899" s="40" t="n">
        <x:v>0.6164244076831821</x:v>
      </x:c>
      <x:c r="E899" s="40" t="n">
        <x:v>0.3544635915882261</x:v>
      </x:c>
      <x:c r="F899" s="40" t="n">
        <x:v>0.046100149332830895</x:v>
      </x:c>
      <x:c r="G899" s="40" t="n">
        <x:v>0.189119851718047</x:v>
      </x:c>
      <x:c r="H899" s="40" t="n">
        <x:v>0.011287693488949318</x:v>
      </x:c>
    </x:row>
    <x:row r="900">
      <x:c r="A900" t="n">
        <x:v>851</x:v>
      </x:c>
      <x:c r="B900" s="40" t="n">
        <x:v>0.07119458956400576</x:v>
      </x:c>
      <x:c r="C900" s="40" t="n">
        <x:v>0.07680358754604534</x:v>
      </x:c>
      <x:c r="D900" s="40" t="n">
        <x:v>0.673676127161898</x:v>
      </x:c>
      <x:c r="E900" s="40" t="n">
        <x:v>0.0874554682461442</x:v>
      </x:c>
      <x:c r="F900" s="40" t="n">
        <x:v>0.20401271348580027</x:v>
      </x:c>
      <x:c r="G900" s="40" t="n">
        <x:v>0.5090314407515175</x:v>
      </x:c>
      <x:c r="H900" s="40" t="n">
        <x:v>0.11966553520628023</x:v>
      </x:c>
    </x:row>
    <x:row r="901">
      <x:c r="A901" t="n">
        <x:v>852</x:v>
      </x:c>
      <x:c r="B901" s="40" t="n">
        <x:v>0.0924071813150073</x:v>
      </x:c>
      <x:c r="C901" s="40" t="n">
        <x:v>0.09500776733520402</x:v>
      </x:c>
      <x:c r="D901" s="40" t="n">
        <x:v>0.7678670618978869</x:v>
      </x:c>
      <x:c r="E901" s="40" t="n">
        <x:v>0.04099345748452646</x:v>
      </x:c>
      <x:c r="F901" s="40" t="n">
        <x:v>0.1517937299952593</x:v>
      </x:c>
      <x:c r="G901" s="40" t="n">
        <x:v>0.14808823895870252</x:v>
      </x:c>
      <x:c r="H901" s="40" t="n">
        <x:v>0.004857099619658841</x:v>
      </x:c>
    </x:row>
    <x:row r="902">
      <x:c r="A902" t="n">
        <x:v>853</x:v>
      </x:c>
      <x:c r="B902" s="40" t="n">
        <x:v>0.08140376897159758</x:v>
      </x:c>
      <x:c r="C902" s="40" t="n">
        <x:v>0.08709810960501865</x:v>
      </x:c>
      <x:c r="D902" s="40" t="n">
        <x:v>0.7112659861240184</x:v>
      </x:c>
      <x:c r="E902" s="40" t="n">
        <x:v>0.21615101462096178</x:v>
      </x:c>
      <x:c r="F902" s="40" t="n">
        <x:v>0.1657176198823653</x:v>
      </x:c>
      <x:c r="G902" s="40" t="n">
        <x:v>0.20869839742778637</x:v>
      </x:c>
      <x:c r="H902" s="40" t="n">
        <x:v>0.030318240881495918</x:v>
      </x:c>
    </x:row>
    <x:row r="903">
      <x:c r="A903" t="n">
        <x:v>854</x:v>
      </x:c>
      <x:c r="B903" s="40" t="n">
        <x:v>0.09190670801211369</x:v>
      </x:c>
      <x:c r="C903" s="40" t="n">
        <x:v>0.10703075356870283</x:v>
      </x:c>
      <x:c r="D903" s="40" t="n">
        <x:v>0.676934987772091</x:v>
      </x:c>
      <x:c r="E903" s="40" t="n">
        <x:v>0.019095554290104687</x:v>
      </x:c>
      <x:c r="F903" s="40" t="n">
        <x:v>0.27176504609990915</x:v>
      </x:c>
      <x:c r="G903" s="40" t="n">
        <x:v>0.015239082476265273</x:v>
      </x:c>
      <x:c r="H903" s="40" t="n">
        <x:v>0.2995593046325894</x:v>
      </x:c>
    </x:row>
    <x:row r="904">
      <x:c r="A904" t="n">
        <x:v>855</x:v>
      </x:c>
      <x:c r="B904" s="40" t="n">
        <x:v>0.08720778130834331</x:v>
      </x:c>
      <x:c r="C904" s="40" t="n">
        <x:v>0.09676812732941908</x:v>
      </x:c>
      <x:c r="D904" s="40" t="n">
        <x:v>0.7001678861041558</x:v>
      </x:c>
      <x:c r="E904" s="40" t="n">
        <x:v>0.17129411623316237</x:v>
      </x:c>
      <x:c r="F904" s="40" t="n">
        <x:v>0.14746200226471495</x:v>
      </x:c>
      <x:c r="G904" s="40" t="n">
        <x:v>0.0390771299266963</x:v>
      </x:c>
      <x:c r="H904" s="40" t="n">
        <x:v>0.42083826306733796</x:v>
      </x:c>
    </x:row>
    <x:row r="905">
      <x:c r="A905" t="n">
        <x:v>856</x:v>
      </x:c>
      <x:c r="B905" s="40" t="n">
        <x:v>0.08048999596672604</x:v>
      </x:c>
      <x:c r="C905" s="40" t="n">
        <x:v>0.11202662999530255</x:v>
      </x:c>
      <x:c r="D905" s="40" t="n">
        <x:v>0.5448360788451748</x:v>
      </x:c>
      <x:c r="E905" s="40" t="n">
        <x:v>0.5444065208197948</x:v>
      </x:c>
      <x:c r="F905" s="40" t="n">
        <x:v>0.009885991495603865</x:v>
      </x:c>
      <x:c r="G905" s="40" t="n">
        <x:v>0.019168921508426893</x:v>
      </x:c>
      <x:c r="H905" s="40" t="n">
        <x:v>0.32937710468179326</x:v>
      </x:c>
    </x:row>
    <x:row r="906">
      <x:c r="A906" t="n">
        <x:v>857</x:v>
      </x:c>
      <x:c r="B906" s="40" t="n">
        <x:v>0.07362641768529984</x:v>
      </x:c>
      <x:c r="C906" s="40" t="n">
        <x:v>0.06524033590411846</x:v>
      </x:c>
      <x:c r="D906" s="40" t="n">
        <x:v>0.830353964011916</x:v>
      </x:c>
      <x:c r="E906" s="40" t="n">
        <x:v>0.0932380064629822</x:v>
      </x:c>
      <x:c r="F906" s="40" t="n">
        <x:v>0.05454767139192348</x:v>
      </x:c>
      <x:c r="G906" s="40" t="n">
        <x:v>0.14137336797656913</x:v>
      </x:c>
      <x:c r="H906" s="40" t="n">
        <x:v>0.39211355978895396</x:v>
      </x:c>
    </x:row>
    <x:row r="907">
      <x:c r="A907" t="n">
        <x:v>858</x:v>
      </x:c>
      <x:c r="B907" s="40" t="n">
        <x:v>0.0794853300270984</x:v>
      </x:c>
      <x:c r="C907" s="40" t="n">
        <x:v>0.07740834900909357</x:v>
      </x:c>
      <x:c r="D907" s="40" t="n">
        <x:v>0.7755169131200567</x:v>
      </x:c>
      <x:c r="E907" s="40" t="n">
        <x:v>0.06761255965737917</x:v>
      </x:c>
      <x:c r="F907" s="40" t="n">
        <x:v>0.03914431923153267</x:v>
      </x:c>
      <x:c r="G907" s="40" t="n">
        <x:v>0.272404426621616</x:v>
      </x:c>
      <x:c r="H907" s="40" t="n">
        <x:v>0.22794032208561477</x:v>
      </x:c>
    </x:row>
    <x:row r="908">
      <x:c r="A908" t="n">
        <x:v>859</x:v>
      </x:c>
      <x:c r="B908" s="40" t="n">
        <x:v>0.08202055343152956</x:v>
      </x:c>
      <x:c r="C908" s="40" t="n">
        <x:v>0.10893113915843816</x:v>
      </x:c>
      <x:c r="D908" s="40" t="n">
        <x:v>0.5743693471035989</x:v>
      </x:c>
      <x:c r="E908" s="40" t="n">
        <x:v>0.46242823213429746</x:v>
      </x:c>
      <x:c r="F908" s="40" t="n">
        <x:v>0.08326260561241149</x:v>
      </x:c>
      <x:c r="G908" s="40" t="n">
        <x:v>0.09040307640605112</x:v>
      </x:c>
      <x:c r="H908" s="40" t="n">
        <x:v>0.23840283660858252</x:v>
      </x:c>
    </x:row>
    <x:row r="909">
      <x:c r="A909" t="n">
        <x:v>860</x:v>
      </x:c>
      <x:c r="B909" s="40" t="n">
        <x:v>0.08409351689244</x:v>
      </x:c>
      <x:c r="C909" s="40" t="n">
        <x:v>0.08453476936869644</x:v>
      </x:c>
      <x:c r="D909" s="40" t="n">
        <x:v>0.7646518849145896</x:v>
      </x:c>
      <x:c r="E909" s="40" t="n">
        <x:v>0.0378328626661403</x:v>
      </x:c>
      <x:c r="F909" s="40" t="n">
        <x:v>0.06818326967431834</x:v>
      </x:c>
      <x:c r="G909" s="40" t="n">
        <x:v>0.15183895798896635</x:v>
      </x:c>
      <x:c r="H909" s="40" t="n">
        <x:v>0.3851403696684725</x:v>
      </x:c>
    </x:row>
    <x:row r="910">
      <x:c r="A910" t="n">
        <x:v>861</x:v>
      </x:c>
      <x:c r="B910" s="40" t="n">
        <x:v>0.07044373160067298</x:v>
      </x:c>
      <x:c r="C910" s="40" t="n">
        <x:v>0.08055307206546836</x:v>
      </x:c>
      <x:c r="D910" s="40" t="n">
        <x:v>0.6329974033192121</x:v>
      </x:c>
      <x:c r="E910" s="40" t="n">
        <x:v>0.018903009890156076</x:v>
      </x:c>
      <x:c r="F910" s="40" t="n">
        <x:v>0.1703912030803635</x:v>
      </x:c>
      <x:c r="G910" s="40" t="n">
        <x:v>0.001035455081429502</x:v>
      </x:c>
      <x:c r="H910" s="40" t="n">
        <x:v>0.5110085345584396</x:v>
      </x:c>
    </x:row>
    <x:row r="911">
      <x:c r="A911" t="n">
        <x:v>862</x:v>
      </x:c>
      <x:c r="B911" s="40" t="n">
        <x:v>0.08797442271530703</x:v>
      </x:c>
      <x:c r="C911" s="40" t="n">
        <x:v>0.09370408524832909</x:v>
      </x:c>
      <x:c r="D911" s="40" t="n">
        <x:v>0.7312442822516398</x:v>
      </x:c>
      <x:c r="E911" s="40" t="n">
        <x:v>0.31392719890037085</x:v>
      </x:c>
      <x:c r="F911" s="40" t="n">
        <x:v>0.022005439455746637</x:v>
      </x:c>
      <x:c r="G911" s="40" t="n">
        <x:v>0.00016724438567470323</x:v>
      </x:c>
      <x:c r="H911" s="40" t="n">
        <x:v>0.33405686777898136</x:v>
      </x:c>
    </x:row>
    <x:row r="912">
      <x:c r="A912" t="n">
        <x:v>863</x:v>
      </x:c>
      <x:c r="B912" s="40" t="n">
        <x:v>0.07324729617861643</x:v>
      </x:c>
      <x:c r="C912" s="40" t="n">
        <x:v>0.06849717028865661</x:v>
      </x:c>
      <x:c r="D912" s="40" t="n">
        <x:v>0.7853382818308726</x:v>
      </x:c>
      <x:c r="E912" s="40" t="n">
        <x:v>0.14445136761732952</x:v>
      </x:c>
      <x:c r="F912" s="40" t="n">
        <x:v>0.01397703348592201</x:v>
      </x:c>
      <x:c r="G912" s="40" t="n">
        <x:v>0.3925776524517303</x:v>
      </x:c>
      <x:c r="H912" s="40" t="n">
        <x:v>0.11943346458958921</x:v>
      </x:c>
    </x:row>
    <x:row r="913">
      <x:c r="A913" t="n">
        <x:v>864</x:v>
      </x:c>
      <x:c r="B913" s="40" t="n">
        <x:v>0.05549715794445541</x:v>
      </x:c>
      <x:c r="C913" s="40" t="n">
        <x:v>0.0774212213873293</x:v>
      </x:c>
      <x:c r="D913" s="40" t="n">
        <x:v>0.46554821978703725</x:v>
      </x:c>
      <x:c r="E913" s="40" t="n">
        <x:v>0.012414055100736815</x:v>
      </x:c>
      <x:c r="F913" s="40" t="n">
        <x:v>0.0204549295435489</x:v>
      </x:c>
      <x:c r="G913" s="40" t="n">
        <x:v>0.7829227190743694</x:v>
      </x:c>
      <x:c r="H913" s="40" t="n">
        <x:v>0.061690511150748154</x:v>
      </x:c>
    </x:row>
    <x:row r="914">
      <x:c r="A914" t="n">
        <x:v>865</x:v>
      </x:c>
      <x:c r="B914" s="40" t="n">
        <x:v>0.07854197696990667</x:v>
      </x:c>
      <x:c r="C914" s="40" t="n">
        <x:v>0.07577751804603092</x:v>
      </x:c>
      <x:c r="D914" s="40" t="n">
        <x:v>0.7797580646566906</x:v>
      </x:c>
      <x:c r="E914" s="40" t="n">
        <x:v>0.05178886410917873</x:v>
      </x:c>
      <x:c r="F914" s="40" t="n">
        <x:v>0.1737279844397655</x:v>
      </x:c>
      <x:c r="G914" s="40" t="n">
        <x:v>0.1502744768149975</x:v>
      </x:c>
      <x:c r="H914" s="40" t="n">
        <x:v>0.07760444346604348</x:v>
      </x:c>
    </x:row>
    <x:row r="915">
      <x:c r="A915" t="n">
        <x:v>866</x:v>
      </x:c>
      <x:c r="B915" s="40" t="n">
        <x:v>0.10072054371104756</x:v>
      </x:c>
      <x:c r="C915" s="40" t="n">
        <x:v>0.11363563560108607</x:v>
      </x:c>
      <x:c r="D915" s="40" t="n">
        <x:v>0.7151515202720854</x:v>
      </x:c>
      <x:c r="E915" s="40" t="n">
        <x:v>0.17000921665248944</x:v>
      </x:c>
      <x:c r="F915" s="40" t="n">
        <x:v>0.07087875758280006</x:v>
      </x:c>
      <x:c r="G915" s="40" t="n">
        <x:v>0.1299156919542447</x:v>
      </x:c>
      <x:c r="H915" s="40" t="n">
        <x:v>0.1007567372181737</x:v>
      </x:c>
    </x:row>
    <x:row r="916">
      <x:c r="A916" t="n">
        <x:v>867</x:v>
      </x:c>
      <x:c r="B916" s="40" t="n">
        <x:v>0.07602752512777383</x:v>
      </x:c>
      <x:c r="C916" s="40" t="n">
        <x:v>0.06950309147273201</x:v>
      </x:c>
      <x:c r="D916" s="40" t="n">
        <x:v>0.813973562544669</x:v>
      </x:c>
      <x:c r="E916" s="40" t="n">
        <x:v>0.07831088835309175</x:v>
      </x:c>
      <x:c r="F916" s="40" t="n">
        <x:v>0.006567607293878436</x:v>
      </x:c>
      <x:c r="G916" s="40" t="n">
        <x:v>0.1270651474720945</x:v>
      </x:c>
      <x:c r="H916" s="40" t="n">
        <x:v>0.4617470918634718</x:v>
      </x:c>
    </x:row>
    <x:row r="917">
      <x:c r="A917" t="n">
        <x:v>868</x:v>
      </x:c>
      <x:c r="B917" s="40" t="n">
        <x:v>0.08606020172156228</x:v>
      </x:c>
      <x:c r="C917" s="40" t="n">
        <x:v>0.13936036130118476</x:v>
      </x:c>
      <x:c r="D917" s="40" t="n">
        <x:v>0.4779433329952904</x:v>
      </x:c>
      <x:c r="E917" s="40" t="n">
        <x:v>0.007900267737361119</x:v>
      </x:c>
      <x:c r="F917" s="40" t="n">
        <x:v>0.4716565383247913</x:v>
      </x:c>
      <x:c r="G917" s="40" t="n">
        <x:v>0.07467444273472545</x:v>
      </x:c>
      <x:c r="H917" s="40" t="n">
        <x:v>0.1538460019839892</x:v>
      </x:c>
    </x:row>
    <x:row r="918">
      <x:c r="A918" t="n">
        <x:v>869</x:v>
      </x:c>
      <x:c r="B918" s="40" t="n">
        <x:v>0.07367459890117398</x:v>
      </x:c>
      <x:c r="C918" s="40" t="n">
        <x:v>0.09611430650203516</x:v>
      </x:c>
      <x:c r="D918" s="40" t="n">
        <x:v>0.5641278049088325</x:v>
      </x:c>
      <x:c r="E918" s="40" t="n">
        <x:v>0.4027141087160846</x:v>
      </x:c>
      <x:c r="F918" s="40" t="n">
        <x:v>0.07224848255080378</x:v>
      </x:c>
      <x:c r="G918" s="40" t="n">
        <x:v>0.09239225493252641</x:v>
      </x:c>
      <x:c r="H918" s="40" t="n">
        <x:v>0.08216479487830021</x:v>
      </x:c>
    </x:row>
    <x:row r="919">
      <x:c r="A919" t="n">
        <x:v>870</x:v>
      </x:c>
      <x:c r="B919" s="40" t="n">
        <x:v>0.08125535816666615</x:v>
      </x:c>
      <x:c r="C919" s="40" t="n">
        <x:v>0.10099115464376367</x:v>
      </x:c>
      <x:c r="D919" s="40" t="n">
        <x:v>0.6119497517462666</x:v>
      </x:c>
      <x:c r="E919" s="40" t="n">
        <x:v>0.3599759838338188</x:v>
      </x:c>
      <x:c r="F919" s="40" t="n">
        <x:v>0.11492588433813536</x:v>
      </x:c>
      <x:c r="G919" s="40" t="n">
        <x:v>0.07612180309895053</x:v>
      </x:c>
      <x:c r="H919" s="40" t="n">
        <x:v>0.21030697715449495</x:v>
      </x:c>
    </x:row>
    <x:row r="920">
      <x:c r="A920" t="n">
        <x:v>871</x:v>
      </x:c>
      <x:c r="B920" s="40" t="n">
        <x:v>0.06897600060037509</x:v>
      </x:c>
      <x:c r="C920" s="40" t="n">
        <x:v>0.0742035275494438</x:v>
      </x:c>
      <x:c r="D920" s="40" t="n">
        <x:v>0.6673827523028605</x:v>
      </x:c>
      <x:c r="E920" s="40" t="n">
        <x:v>0.030036756713069376</x:v>
      </x:c>
      <x:c r="F920" s="40" t="n">
        <x:v>0.18885552929045768</x:v>
      </x:c>
      <x:c r="G920" s="40" t="n">
        <x:v>0.12865969114389278</x:v>
      </x:c>
      <x:c r="H920" s="40" t="n">
        <x:v>0.04174679621199276</x:v>
      </x:c>
    </x:row>
    <x:row r="921">
      <x:c r="A921" t="n">
        <x:v>872</x:v>
      </x:c>
      <x:c r="B921" s="40" t="n">
        <x:v>0.08511073025242247</x:v>
      </x:c>
      <x:c r="C921" s="40" t="n">
        <x:v>0.11119143522077782</x:v>
      </x:c>
      <x:c r="D921" s="40" t="n">
        <x:v>0.5904850851885337</x:v>
      </x:c>
      <x:c r="E921" s="40" t="n">
        <x:v>0.4057594688721294</x:v>
      </x:c>
      <x:c r="F921" s="40" t="n">
        <x:v>0.16338995710642565</x:v>
      </x:c>
      <x:c r="G921" s="40" t="n">
        <x:v>0.1668392026929059</x:v>
      </x:c>
      <x:c r="H921" s="40" t="n">
        <x:v>0.0593703605445289</x:v>
      </x:c>
    </x:row>
    <x:row r="922">
      <x:c r="A922" t="n">
        <x:v>873</x:v>
      </x:c>
      <x:c r="B922" s="40" t="n">
        <x:v>0.10153479797199204</x:v>
      </x:c>
      <x:c r="C922" s="40" t="n">
        <x:v>0.15018910610643285</x:v>
      </x:c>
      <x:c r="D922" s="40" t="n">
        <x:v>0.5465173470037067</x:v>
      </x:c>
      <x:c r="E922" s="40" t="n">
        <x:v>0.22051880007108712</x:v>
      </x:c>
      <x:c r="F922" s="40" t="n">
        <x:v>0.4104697550863502</x:v>
      </x:c>
      <x:c r="G922" s="40" t="n">
        <x:v>0.05437007315757504</x:v>
      </x:c>
      <x:c r="H922" s="40" t="n">
        <x:v>0.039072584499599355</x:v>
      </x:c>
    </x:row>
    <x:row r="923">
      <x:c r="A923" t="n">
        <x:v>874</x:v>
      </x:c>
      <x:c r="B923" s="40" t="n">
        <x:v>0.08747043242947405</x:v>
      </x:c>
      <x:c r="C923" s="40" t="n">
        <x:v>0.13542459126709033</x:v>
      </x:c>
      <x:c r="D923" s="40" t="n">
        <x:v>0.5022469378658312</x:v>
      </x:c>
      <x:c r="E923" s="40" t="n">
        <x:v>0.13584271780684173</x:v>
      </x:c>
      <x:c r="F923" s="40" t="n">
        <x:v>0.3833993576990702</x:v>
      </x:c>
      <x:c r="G923" s="40" t="n">
        <x:v>0.03204179181834093</x:v>
      </x:c>
      <x:c r="H923" s="40" t="n">
        <x:v>0.2720095075072616</x:v>
      </x:c>
    </x:row>
    <x:row r="924">
      <x:c r="A924" t="n">
        <x:v>875</x:v>
      </x:c>
      <x:c r="B924" s="40" t="n">
        <x:v>0.08822720523101146</x:v>
      </x:c>
      <x:c r="C924" s="40" t="n">
        <x:v>0.08589714107479926</x:v>
      </x:c>
      <x:c r="D924" s="40" t="n">
        <x:v>0.8006478238580426</x:v>
      </x:c>
      <x:c r="E924" s="40" t="n">
        <x:v>0.1505743230200785</x:v>
      </x:c>
      <x:c r="F924" s="40" t="n">
        <x:v>0.06515427224052926</x:v>
      </x:c>
      <x:c r="G924" s="40" t="n">
        <x:v>0.04588855304589555</x:v>
      </x:c>
      <x:c r="H924" s="40" t="n">
        <x:v>0.1909718796149833</x:v>
      </x:c>
    </x:row>
    <x:row r="925">
      <x:c r="A925" t="n">
        <x:v>876</x:v>
      </x:c>
      <x:c r="B925" s="40" t="n">
        <x:v>0.06675395077305599</x:v>
      </x:c>
      <x:c r="C925" s="40" t="n">
        <x:v>0.06887689528825854</x:v>
      </x:c>
      <x:c r="D925" s="40" t="n">
        <x:v>0.6867339827274864</x:v>
      </x:c>
      <x:c r="E925" s="40" t="n">
        <x:v>0.021899596857501803</x:v>
      </x:c>
      <x:c r="F925" s="40" t="n">
        <x:v>0.0830766687058093</x:v>
      </x:c>
      <x:c r="G925" s="40" t="n">
        <x:v>0.5287017814131275</x:v>
      </x:c>
      <x:c r="H925" s="40" t="n">
        <x:v>0.18943363683508155</x:v>
      </x:c>
    </x:row>
    <x:row r="926">
      <x:c r="A926" t="n">
        <x:v>877</x:v>
      </x:c>
      <x:c r="B926" s="40" t="n">
        <x:v>0.0874064318306626</x:v>
      </x:c>
      <x:c r="C926" s="40" t="n">
        <x:v>0.09431447564454364</x:v>
      </x:c>
      <x:c r="D926" s="40" t="n">
        <x:v>0.720489460524798</x:v>
      </x:c>
      <x:c r="E926" s="40" t="n">
        <x:v>0.010071796698691704</x:v>
      </x:c>
      <x:c r="F926" s="40" t="n">
        <x:v>0.24965522219448377</x:v>
      </x:c>
      <x:c r="G926" s="40" t="n">
        <x:v>0.1301944313389655</x:v>
      </x:c>
      <x:c r="H926" s="40" t="n">
        <x:v>0.12678087260522808</x:v>
      </x:c>
    </x:row>
    <x:row r="927">
      <x:c r="A927" t="n">
        <x:v>878</x:v>
      </x:c>
      <x:c r="B927" s="40" t="n">
        <x:v>0.09254798338220856</x:v>
      </x:c>
      <x:c r="C927" s="40" t="n">
        <x:v>0.09812460199691521</x:v>
      </x:c>
      <x:c r="D927" s="40" t="n">
        <x:v>0.7449114262971512</x:v>
      </x:c>
      <x:c r="E927" s="40" t="n">
        <x:v>0.19485066759018682</x:v>
      </x:c>
      <x:c r="F927" s="40" t="n">
        <x:v>0.038473554053457905</x:v>
      </x:c>
      <x:c r="G927" s="40" t="n">
        <x:v>0.21215210400782006</x:v>
      </x:c>
      <x:c r="H927" s="40" t="n">
        <x:v>0.029666543715792817</x:v>
      </x:c>
    </x:row>
    <x:row r="928">
      <x:c r="A928" t="n">
        <x:v>879</x:v>
      </x:c>
      <x:c r="B928" s="40" t="n">
        <x:v>0.09806173798271034</x:v>
      </x:c>
      <x:c r="C928" s="40" t="n">
        <x:v>0.11602482501375501</x:v>
      </x:c>
      <x:c r="D928" s="40" t="n">
        <x:v>0.6775092470042082</x:v>
      </x:c>
      <x:c r="E928" s="40" t="n">
        <x:v>0.10745021121891439</x:v>
      </x:c>
      <x:c r="F928" s="40" t="n">
        <x:v>0.2693724473529686</x:v>
      </x:c>
      <x:c r="G928" s="40" t="n">
        <x:v>0.035362044435988185</x:v>
      </x:c>
      <x:c r="H928" s="40" t="n">
        <x:v>0.12931062169262553</x:v>
      </x:c>
    </x:row>
    <x:row r="929">
      <x:c r="A929" t="n">
        <x:v>880</x:v>
      </x:c>
      <x:c r="B929" s="40" t="n">
        <x:v>0.09325322146387151</x:v>
      </x:c>
      <x:c r="C929" s="40" t="n">
        <x:v>0.1482854981096461</x:v>
      </x:c>
      <x:c r="D929" s="40" t="n">
        <x:v>0.4976843740677608</x:v>
      </x:c>
      <x:c r="E929" s="40" t="n">
        <x:v>0.6361930002314431</x:v>
      </x:c>
      <x:c r="F929" s="40" t="n">
        <x:v>0.13358614364701313</x:v>
      </x:c>
      <x:c r="G929" s="40" t="n">
        <x:v>0.0002503629364687654</x:v>
      </x:c>
      <x:c r="H929" s="40" t="n">
        <x:v>0.18891157237119258</x:v>
      </x:c>
    </x:row>
    <x:row r="930">
      <x:c r="A930" t="n">
        <x:v>881</x:v>
      </x:c>
      <x:c r="B930" s="40" t="n">
        <x:v>0.07214515404094009</x:v>
      </x:c>
      <x:c r="C930" s="40" t="n">
        <x:v>0.08980085297235853</x:v>
      </x:c>
      <x:c r="D930" s="40" t="n">
        <x:v>0.5867573207051026</x:v>
      </x:c>
      <x:c r="E930" s="40" t="n">
        <x:v>0.1333492085718996</x:v>
      </x:c>
      <x:c r="F930" s="40" t="n">
        <x:v>0.23627199146541478</x:v>
      </x:c>
      <x:c r="G930" s="40" t="n">
        <x:v>0.20256111705268073</x:v>
      </x:c>
      <x:c r="H930" s="40" t="n">
        <x:v>0.0009525977160149955</x:v>
      </x:c>
    </x:row>
    <x:row r="931">
      <x:c r="A931" t="n">
        <x:v>882</x:v>
      </x:c>
      <x:c r="B931" s="40" t="n">
        <x:v>0.08750306005144885</x:v>
      </x:c>
      <x:c r="C931" s="40" t="n">
        <x:v>0.10493854008487957</x:v>
      </x:c>
      <x:c r="D931" s="40" t="n">
        <x:v>0.648467320419753</x:v>
      </x:c>
      <x:c r="E931" s="40" t="n">
        <x:v>0.3723770925031076</x:v>
      </x:c>
      <x:c r="F931" s="40" t="n">
        <x:v>0.11647937185652989</x:v>
      </x:c>
      <x:c r="G931" s="40" t="n">
        <x:v>0.06977076164304027</x:v>
      </x:c>
      <x:c r="H931" s="40" t="n">
        <x:v>0.10962741641914149</x:v>
      </x:c>
    </x:row>
    <x:row r="932">
      <x:c r="A932" t="n">
        <x:v>883</x:v>
      </x:c>
      <x:c r="B932" s="40" t="n">
        <x:v>0.10361819477536764</x:v>
      </x:c>
      <x:c r="C932" s="40" t="n">
        <x:v>0.17249641812447017</x:v>
      </x:c>
      <x:c r="D932" s="40" t="n">
        <x:v>0.48791939877145785</x:v>
      </x:c>
      <x:c r="E932" s="40" t="n">
        <x:v>0.1210987662509313</x:v>
      </x:c>
      <x:c r="F932" s="40" t="n">
        <x:v>0.5459234315261403</x:v>
      </x:c>
      <x:c r="G932" s="40" t="n">
        <x:v>0.03599779060273104</x:v>
      </x:c>
      <x:c r="H932" s="40" t="n">
        <x:v>0.1869057225110035</x:v>
      </x:c>
    </x:row>
    <x:row r="933">
      <x:c r="A933" t="n">
        <x:v>884</x:v>
      </x:c>
      <x:c r="B933" s="40" t="n">
        <x:v>0.07644367287332526</x:v>
      </x:c>
      <x:c r="C933" s="40" t="n">
        <x:v>0.07722115855097522</x:v>
      </x:c>
      <x:c r="D933" s="40" t="n">
        <x:v>0.7380079215188022</x:v>
      </x:c>
      <x:c r="E933" s="40" t="n">
        <x:v>0.22782347009955622</x:v>
      </x:c>
      <x:c r="F933" s="40" t="n">
        <x:v>0.086283417005857</x:v>
      </x:c>
      <x:c r="G933" s="40" t="n">
        <x:v>0.1847835786010006</x:v>
      </x:c>
      <x:c r="H933" s="40" t="n">
        <x:v>0.2637119931327005</x:v>
      </x:c>
    </x:row>
    <x:row r="934">
      <x:c r="A934" t="n">
        <x:v>885</x:v>
      </x:c>
      <x:c r="B934" s="40" t="n">
        <x:v>0.07574761166568211</x:v>
      </x:c>
      <x:c r="C934" s="40" t="n">
        <x:v>0.083692139516813</x:v>
      </x:c>
      <x:c r="D934" s="40" t="n">
        <x:v>0.6726290645315269</x:v>
      </x:c>
      <x:c r="E934" s="40" t="n">
        <x:v>0.13791078744642687</x:v>
      </x:c>
      <x:c r="F934" s="40" t="n">
        <x:v>0.2110997708762371</x:v>
      </x:c>
      <x:c r="G934" s="40" t="n">
        <x:v>0.3349098427751441</x:v>
      </x:c>
      <x:c r="H934" s="40" t="n">
        <x:v>0.14629884882097244</x:v>
      </x:c>
    </x:row>
    <x:row r="935">
      <x:c r="A935" t="n">
        <x:v>886</x:v>
      </x:c>
      <x:c r="B935" s="40" t="n">
        <x:v>0.07439908102951735</x:v>
      </x:c>
      <x:c r="C935" s="40" t="n">
        <x:v>0.06666394133272438</x:v>
      </x:c>
      <x:c r="D935" s="40" t="n">
        <x:v>0.824212216938025</x:v>
      </x:c>
      <x:c r="E935" s="40" t="n">
        <x:v>0.24139605325660754</x:v>
      </x:c>
      <x:c r="F935" s="40" t="n">
        <x:v>0.013608489211772061</x:v>
      </x:c>
      <x:c r="G935" s="40" t="n">
        <x:v>0.1529963987693019</x:v>
      </x:c>
      <x:c r="H935" s="40" t="n">
        <x:v>0.15793221677700336</x:v>
      </x:c>
    </x:row>
    <x:row r="936">
      <x:c r="A936" t="n">
        <x:v>887</x:v>
      </x:c>
      <x:c r="B936" s="40" t="n">
        <x:v>0.057135488888677935</x:v>
      </x:c>
      <x:c r="C936" s="40" t="n">
        <x:v>0.06328948136120449</x:v>
      </x:c>
      <x:c r="D936" s="40" t="n">
        <x:v>0.5953855510329725</x:v>
      </x:c>
      <x:c r="E936" s="40" t="n">
        <x:v>0.018475163704316042</x:v>
      </x:c>
      <x:c r="F936" s="40" t="n">
        <x:v>0.019140825115546635</x:v>
      </x:c>
      <x:c r="G936" s="40" t="n">
        <x:v>0.5976245368486979</x:v>
      </x:c>
      <x:c r="H936" s="40" t="n">
        <x:v>0.17376122514872078</x:v>
      </x:c>
    </x:row>
    <x:row r="937">
      <x:c r="A937" t="n">
        <x:v>888</x:v>
      </x:c>
      <x:c r="B937" s="40" t="n">
        <x:v>0.08515060801407442</x:v>
      </x:c>
      <x:c r="C937" s="40" t="n">
        <x:v>0.09995208519773818</x:v>
      </x:c>
      <x:c r="D937" s="40" t="n">
        <x:v>0.6572825542384475</x:v>
      </x:c>
      <x:c r="E937" s="40" t="n">
        <x:v>0.05288784538729927</x:v>
      </x:c>
      <x:c r="F937" s="40" t="n">
        <x:v>0.2482947525237312</x:v>
      </x:c>
      <x:c r="G937" s="40" t="n">
        <x:v>0.024990384617374472</x:v>
      </x:c>
      <x:c r="H937" s="40" t="n">
        <x:v>0.3487574428917707</x:v>
      </x:c>
    </x:row>
    <x:row r="938">
      <x:c r="A938" t="n">
        <x:v>889</x:v>
      </x:c>
      <x:c r="B938" s="40" t="n">
        <x:v>0.08356837042798484</x:v>
      </x:c>
      <x:c r="C938" s="40" t="n">
        <x:v>0.1012009734623322</x:v>
      </x:c>
      <x:c r="D938" s="40" t="n">
        <x:v>0.6335366358704309</x:v>
      </x:c>
      <x:c r="E938" s="40" t="n">
        <x:v>0.3394772674416606</x:v>
      </x:c>
      <x:c r="F938" s="40" t="n">
        <x:v>0.18252576419813374</x:v>
      </x:c>
      <x:c r="G938" s="40" t="n">
        <x:v>0.3028768561989213</x:v>
      </x:c>
      <x:c r="H938" s="40" t="n">
        <x:v>0.012556724710502867</x:v>
      </x:c>
    </x:row>
    <x:row r="939">
      <x:c r="A939" t="n">
        <x:v>890</x:v>
      </x:c>
      <x:c r="B939" s="40" t="n">
        <x:v>0.09540394144125752</x:v>
      </x:c>
      <x:c r="C939" s="40" t="n">
        <x:v>0.13622567145246453</x:v>
      </x:c>
      <x:c r="D939" s="40" t="n">
        <x:v>0.5575314437992246</x:v>
      </x:c>
      <x:c r="E939" s="40" t="n">
        <x:v>0.1466026373810882</x:v>
      </x:c>
      <x:c r="F939" s="40" t="n">
        <x:v>0.3816406384532741</x:v>
      </x:c>
      <x:c r="G939" s="40" t="n">
        <x:v>0.013073571670507357</x:v>
      </x:c>
      <x:c r="H939" s="40" t="n">
        <x:v>0.04690164843031227</x:v>
      </x:c>
    </x:row>
    <x:row r="940">
      <x:c r="A940" t="n">
        <x:v>891</x:v>
      </x:c>
      <x:c r="B940" s="40" t="n">
        <x:v>0.08538653414141656</x:v>
      </x:c>
      <x:c r="C940" s="40" t="n">
        <x:v>0.0936296924066507</x:v>
      </x:c>
      <x:c r="D940" s="40" t="n">
        <x:v>0.70418567329275</x:v>
      </x:c>
      <x:c r="E940" s="40" t="n">
        <x:v>0.028037963402148525</x:v>
      </x:c>
      <x:c r="F940" s="40" t="n">
        <x:v>0.2148006411555665</x:v>
      </x:c>
      <x:c r="G940" s="40" t="n">
        <x:v>0.11039921475294026</x:v>
      </x:c>
      <x:c r="H940" s="40" t="n">
        <x:v>0.3891159094310334</x:v>
      </x:c>
    </x:row>
    <x:row r="941">
      <x:c r="A941" t="n">
        <x:v>892</x:v>
      </x:c>
      <x:c r="B941" s="40" t="n">
        <x:v>0.0877500807428986</x:v>
      </x:c>
      <x:c r="C941" s="40" t="n">
        <x:v>0.10317465272597297</x:v>
      </x:c>
      <x:c r="D941" s="40" t="n">
        <x:v>0.6619478019513575</x:v>
      </x:c>
      <x:c r="E941" s="40" t="n">
        <x:v>0.430488136873802</x:v>
      </x:c>
      <x:c r="F941" s="40" t="n">
        <x:v>0.058567701457030254</x:v>
      </x:c>
      <x:c r="G941" s="40" t="n">
        <x:v>0.10520936045535774</x:v>
      </x:c>
      <x:c r="H941" s="40" t="n">
        <x:v>0.14652883008522813</x:v>
      </x:c>
    </x:row>
    <x:row r="942">
      <x:c r="A942" t="n">
        <x:v>893</x:v>
      </x:c>
      <x:c r="B942" s="40" t="n">
        <x:v>0.08024381725218498</x:v>
      </x:c>
      <x:c r="C942" s="40" t="n">
        <x:v>0.10573505644906124</x:v>
      </x:c>
      <x:c r="D942" s="40" t="n">
        <x:v>0.5749273054734207</x:v>
      </x:c>
      <x:c r="E942" s="40" t="n">
        <x:v>0.21738609063688738</x:v>
      </x:c>
      <x:c r="F942" s="40" t="n">
        <x:v>0.21576694305215632</x:v>
      </x:c>
      <x:c r="G942" s="40" t="n">
        <x:v>0.10051352647366314</x:v>
      </x:c>
      <x:c r="H942" s="40" t="n">
        <x:v>0.38857436299954917</x:v>
      </x:c>
    </x:row>
    <x:row r="943">
      <x:c r="A943" t="n">
        <x:v>894</x:v>
      </x:c>
      <x:c r="B943" s="40" t="n">
        <x:v>0.09191471153172417</x:v>
      </x:c>
      <x:c r="C943" s="40" t="n">
        <x:v>0.12741157045324716</x:v>
      </x:c>
      <x:c r="D943" s="40" t="n">
        <x:v>0.5687149535957338</x:v>
      </x:c>
      <x:c r="E943" s="40" t="n">
        <x:v>0.11370195758442309</x:v>
      </x:c>
      <x:c r="F943" s="40" t="n">
        <x:v>0.3449152719550707</x:v>
      </x:c>
      <x:c r="G943" s="40" t="n">
        <x:v>0.003223957047493141</x:v>
      </x:c>
      <x:c r="H943" s="40" t="n">
        <x:v>0.29498685567038496</x:v>
      </x:c>
    </x:row>
    <x:row r="944">
      <x:c r="A944" t="n">
        <x:v>895</x:v>
      </x:c>
      <x:c r="B944" s="40" t="n">
        <x:v>0.07193181475584254</x:v>
      </x:c>
      <x:c r="C944" s="40" t="n">
        <x:v>0.059281746091191</x:v>
      </x:c>
      <x:c r="D944" s="40" t="n">
        <x:v>0.8852298061745919</x:v>
      </x:c>
      <x:c r="E944" s="40" t="n">
        <x:v>0.00854187942383034</x:v>
      </x:c>
      <x:c r="F944" s="40" t="n">
        <x:v>0.06452086161541083</x:v>
      </x:c>
      <x:c r="G944" s="40" t="n">
        <x:v>0.12660060428827913</x:v>
      </x:c>
      <x:c r="H944" s="40" t="n">
        <x:v>0.32263604793730133</x:v>
      </x:c>
    </x:row>
    <x:row r="945">
      <x:c r="A945" t="n">
        <x:v>896</x:v>
      </x:c>
      <x:c r="B945" s="40" t="n">
        <x:v>0.061793927871002755</x:v>
      </x:c>
      <x:c r="C945" s="40" t="n">
        <x:v>0.06393315677606845</x:v>
      </x:c>
      <x:c r="D945" s="40" t="n">
        <x:v>0.662255453229949</x:v>
      </x:c>
      <x:c r="E945" s="40" t="n">
        <x:v>0.03518114648973551</x:v>
      </x:c>
      <x:c r="F945" s="40" t="n">
        <x:v>0.022275734918814426</x:v>
      </x:c>
      <x:c r="G945" s="40" t="n">
        <x:v>0.5438789174226136</x:v>
      </x:c>
      <x:c r="H945" s="40" t="n">
        <x:v>0.16832867732830284</x:v>
      </x:c>
    </x:row>
    <x:row r="946">
      <x:c r="A946" t="n">
        <x:v>897</x:v>
      </x:c>
      <x:c r="B946" s="40" t="n">
        <x:v>0.08497110256971563</x:v>
      </x:c>
      <x:c r="C946" s="40" t="n">
        <x:v>0.08577866556543161</x:v>
      </x:c>
      <x:c r="D946" s="40" t="n">
        <x:v>0.7637943069409628</x:v>
      </x:c>
      <x:c r="E946" s="40" t="n">
        <x:v>0.18015708525753324</x:v>
      </x:c>
      <x:c r="F946" s="40" t="n">
        <x:v>0.10549089517218779</x:v>
      </x:c>
      <x:c r="G946" s="40" t="n">
        <x:v>0.13062447897162632</x:v>
      </x:c>
      <x:c r="H946" s="40" t="n">
        <x:v>0.24752007980869864</x:v>
      </x:c>
    </x:row>
    <x:row r="947">
      <x:c r="A947" t="n">
        <x:v>898</x:v>
      </x:c>
      <x:c r="B947" s="40" t="n">
        <x:v>0.06942610977671507</x:v>
      </x:c>
      <x:c r="C947" s="40" t="n">
        <x:v>0.06585883674681281</x:v>
      </x:c>
      <x:c r="D947" s="40" t="n">
        <x:v>0.7587784129103569</x:v>
      </x:c>
      <x:c r="E947" s="40" t="n">
        <x:v>0.038337998575818065</x:v>
      </x:c>
      <x:c r="F947" s="40" t="n">
        <x:v>0.012682471080903984</x:v>
      </x:c>
      <x:c r="G947" s="40" t="n">
        <x:v>0.15870119679735742</x:v>
      </x:c>
      <x:c r="H947" s="40" t="n">
        <x:v>0.6186267972611356</x:v>
      </x:c>
    </x:row>
    <x:row r="948">
      <x:c r="A948" t="n">
        <x:v>899</x:v>
      </x:c>
      <x:c r="B948" s="40" t="n">
        <x:v>0.07774405673297782</x:v>
      </x:c>
      <x:c r="C948" s="40" t="n">
        <x:v>0.06847197495580869</x:v>
      </x:c>
      <x:c r="D948" s="40" t="n">
        <x:v>0.8513002672517004</x:v>
      </x:c>
      <x:c r="E948" s="40" t="n">
        <x:v>0.11422487205554076</x:v>
      </x:c>
      <x:c r="F948" s="40" t="n">
        <x:v>0.003331052176810577</x:v>
      </x:c>
      <x:c r="G948" s="40" t="n">
        <x:v>0.21273912289984215</x:v>
      </x:c>
      <x:c r="H948" s="40" t="n">
        <x:v>0.08414837150569787</x:v>
      </x:c>
    </x:row>
    <x:row r="949">
      <x:c r="A949" t="n">
        <x:v>900</x:v>
      </x:c>
      <x:c r="B949" s="40" t="n">
        <x:v>0.07950462120300858</x:v>
      </x:c>
      <x:c r="C949" s="40" t="n">
        <x:v>0.08999075668497575</x:v>
      </x:c>
      <x:c r="D949" s="40" t="n">
        <x:v>0.6672993678603893</x:v>
      </x:c>
      <x:c r="E949" s="40" t="n">
        <x:v>0.19060939804923133</x:v>
      </x:c>
      <x:c r="F949" s="40" t="n">
        <x:v>0.1563440598098506</x:v>
      </x:c>
      <x:c r="G949" s="40" t="n">
        <x:v>0.041908662510588474</x:v>
      </x:c>
      <x:c r="H949" s="40" t="n">
        <x:v>0.23321903472951855</x:v>
      </x:c>
    </x:row>
    <x:row r="950">
      <x:c r="A950" t="n">
        <x:v>901</x:v>
      </x:c>
      <x:c r="B950" s="40" t="n">
        <x:v>0.08936960555099513</x:v>
      </x:c>
      <x:c r="C950" s="40" t="n">
        <x:v>0.1089707053050879</x:v>
      </x:c>
      <x:c r="D950" s="40" t="n">
        <x:v>0.641601421238893</x:v>
      </x:c>
      <x:c r="E950" s="40" t="n">
        <x:v>0.17709681255051113</x:v>
      </x:c>
      <x:c r="F950" s="40" t="n">
        <x:v>0.27312887981024875</x:v>
      </x:c>
      <x:c r="G950" s="40" t="n">
        <x:v>0.24605135608915696</x:v>
      </x:c>
      <x:c r="H950" s="40" t="n">
        <x:v>0.1370601867637525</x:v>
      </x:c>
    </x:row>
    <x:row r="951">
      <x:c r="A951" t="n">
        <x:v>902</x:v>
      </x:c>
      <x:c r="B951" s="40" t="n">
        <x:v>0.09357546674035885</x:v>
      </x:c>
      <x:c r="C951" s="40" t="n">
        <x:v>0.130726323080102</x:v>
      </x:c>
      <x:c r="D951" s="40" t="n">
        <x:v>0.5669984348989529</x:v>
      </x:c>
      <x:c r="E951" s="40" t="n">
        <x:v>0.27802930569233114</x:v>
      </x:c>
      <x:c r="F951" s="40" t="n">
        <x:v>0.3111033955080827</x:v>
      </x:c>
      <x:c r="G951" s="40" t="n">
        <x:v>0.1050789486135701</x:v>
      </x:c>
      <x:c r="H951" s="40" t="n">
        <x:v>0.0699873578186052</x:v>
      </x:c>
    </x:row>
    <x:row r="952">
      <x:c r="A952" t="n">
        <x:v>903</x:v>
      </x:c>
      <x:c r="B952" s="40" t="n">
        <x:v>0.07633798683357372</x:v>
      </x:c>
      <x:c r="C952" s="40" t="n">
        <x:v>0.0658380733855295</x:v>
      </x:c>
      <x:c r="D952" s="40" t="n">
        <x:v>0.8640006876663875</x:v>
      </x:c>
      <x:c r="E952" s="40" t="n">
        <x:v>0.049448087433209754</x:v>
      </x:c>
      <x:c r="F952" s="40" t="n">
        <x:v>0.03537813075082702</x:v>
      </x:c>
      <x:c r="G952" s="40" t="n">
        <x:v>0.17616066772421812</x:v>
      </x:c>
      <x:c r="H952" s="40" t="n">
        <x:v>0.21815260087342558</x:v>
      </x:c>
    </x:row>
    <x:row r="953">
      <x:c r="A953" t="n">
        <x:v>904</x:v>
      </x:c>
      <x:c r="B953" s="40" t="n">
        <x:v>0.07217903809075644</x:v>
      </x:c>
      <x:c r="C953" s="40" t="n">
        <x:v>0.06564979742739346</x:v>
      </x:c>
      <x:c r="D953" s="40" t="n">
        <x:v>0.8031280217615695</x:v>
      </x:c>
      <x:c r="E953" s="40" t="n">
        <x:v>0.16709296995098588</x:v>
      </x:c>
      <x:c r="F953" s="40" t="n">
        <x:v>0.09838065296066062</x:v>
      </x:c>
      <x:c r="G953" s="40" t="n">
        <x:v>0.325871333176462</x:v>
      </x:c>
      <x:c r="H953" s="40" t="n">
        <x:v>0.08464056197243504</x:v>
      </x:c>
    </x:row>
    <x:row r="954">
      <x:c r="A954" t="n">
        <x:v>905</x:v>
      </x:c>
      <x:c r="B954" s="40" t="n">
        <x:v>0.08611688473418032</x:v>
      </x:c>
      <x:c r="C954" s="40" t="n">
        <x:v>0.10858674193208295</x:v>
      </x:c>
      <x:c r="D954" s="40" t="n">
        <x:v>0.6139150820275044</x:v>
      </x:c>
      <x:c r="E954" s="40" t="n">
        <x:v>0.16022801169412534</x:v>
      </x:c>
      <x:c r="F954" s="40" t="n">
        <x:v>0.269201744950955</x:v>
      </x:c>
      <x:c r="G954" s="40" t="n">
        <x:v>0.08139652873064021</x:v>
      </x:c>
      <x:c r="H954" s="40" t="n">
        <x:v>0.13441892276856635</x:v>
      </x:c>
    </x:row>
    <x:row r="955">
      <x:c r="A955" t="n">
        <x:v>906</x:v>
      </x:c>
      <x:c r="B955" s="40" t="n">
        <x:v>0.07200382655163592</x:v>
      </x:c>
      <x:c r="C955" s="40" t="n">
        <x:v>0.07452712782242654</x:v>
      </x:c>
      <x:c r="D955" s="40" t="n">
        <x:v>0.7051121106263342</x:v>
      </x:c>
      <x:c r="E955" s="40" t="n">
        <x:v>0.025250477765662173</x:v>
      </x:c>
      <x:c r="F955" s="40" t="n">
        <x:v>0.16163286478133365</x:v>
      </x:c>
      <x:c r="G955" s="40" t="n">
        <x:v>0.16356382981643802</x:v>
      </x:c>
      <x:c r="H955" s="40" t="n">
        <x:v>0.44715556200502804</x:v>
      </x:c>
    </x:row>
    <x:row r="956">
      <x:c r="A956" t="n">
        <x:v>907</x:v>
      </x:c>
      <x:c r="B956" s="40" t="n">
        <x:v>0.07461665867635</x:v>
      </x:c>
      <x:c r="C956" s="40" t="n">
        <x:v>0.07919626406947901</x:v>
      </x:c>
      <x:c r="D956" s="40" t="n">
        <x:v>0.6965330141597263</x:v>
      </x:c>
      <x:c r="E956" s="40" t="n">
        <x:v>0.16219965969607064</x:v>
      </x:c>
      <x:c r="F956" s="40" t="n">
        <x:v>0.1249740274533576</x:v>
      </x:c>
      <x:c r="G956" s="40" t="n">
        <x:v>0.18927567667957898</x:v>
      </x:c>
      <x:c r="H956" s="40" t="n">
        <x:v>0.39446158346197263</x:v>
      </x:c>
    </x:row>
    <x:row r="957">
      <x:c r="A957" t="n">
        <x:v>908</x:v>
      </x:c>
      <x:c r="B957" s="40" t="n">
        <x:v>0.07285359111420789</x:v>
      </x:c>
      <x:c r="C957" s="40" t="n">
        <x:v>0.07192615519142319</x:v>
      </x:c>
      <x:c r="D957" s="40" t="n">
        <x:v>0.7424245716769436</x:v>
      </x:c>
      <x:c r="E957" s="40" t="n">
        <x:v>0.0628618690375653</x:v>
      </x:c>
      <x:c r="F957" s="40" t="n">
        <x:v>0.15937719379714466</x:v>
      </x:c>
      <x:c r="G957" s="40" t="n">
        <x:v>0.33926353211518967</x:v>
      </x:c>
      <x:c r="H957" s="40" t="n">
        <x:v>0.23800231077749928</x:v>
      </x:c>
    </x:row>
    <x:row r="958">
      <x:c r="A958" t="n">
        <x:v>909</x:v>
      </x:c>
      <x:c r="B958" s="40" t="n">
        <x:v>0.09522417018256019</x:v>
      </x:c>
      <x:c r="C958" s="40" t="n">
        <x:v>0.1082193701064354</x:v>
      </x:c>
      <x:c r="D958" s="40" t="n">
        <x:v>0.700154916390594</x:v>
      </x:c>
      <x:c r="E958" s="40" t="n">
        <x:v>0.04192140803339008</x:v>
      </x:c>
      <x:c r="F958" s="40" t="n">
        <x:v>0.05104023773066114</x:v>
      </x:c>
      <x:c r="G958" s="40" t="n">
        <x:v>0.1673984418020956</x:v>
      </x:c>
      <x:c r="H958" s="40" t="n">
        <x:v>0.1740998213820829</x:v>
      </x:c>
    </x:row>
    <x:row r="959">
      <x:c r="A959" t="n">
        <x:v>910</x:v>
      </x:c>
      <x:c r="B959" s="40" t="n">
        <x:v>0.06497268101563852</x:v>
      </x:c>
      <x:c r="C959" s="40" t="n">
        <x:v>0.054531136152185175</x:v>
      </x:c>
      <x:c r="D959" s="40" t="n">
        <x:v>0.8347310926139274</x:v>
      </x:c>
      <x:c r="E959" s="40" t="n">
        <x:v>0.07437684935685802</x:v>
      </x:c>
      <x:c r="F959" s="40" t="n">
        <x:v>0.10707408364096173</x:v>
      </x:c>
      <x:c r="G959" s="40" t="n">
        <x:v>0.3377059712765486</x:v>
      </x:c>
      <x:c r="H959" s="40" t="n">
        <x:v>0.04669626047516145</x:v>
      </x:c>
    </x:row>
    <x:row r="960">
      <x:c r="A960" t="n">
        <x:v>911</x:v>
      </x:c>
      <x:c r="B960" s="40" t="n">
        <x:v>0.09563285537400353</x:v>
      </x:c>
      <x:c r="C960" s="40" t="n">
        <x:v>0.150675120040069</x:v>
      </x:c>
      <x:c r="D960" s="40" t="n">
        <x:v>0.5055845264958083</x:v>
      </x:c>
      <x:c r="E960" s="40" t="n">
        <x:v>0.22803113838252945</x:v>
      </x:c>
      <x:c r="F960" s="40" t="n">
        <x:v>0.4094366093331376</x:v>
      </x:c>
      <x:c r="G960" s="40" t="n">
        <x:v>0.04298756609633672</x:v>
      </x:c>
      <x:c r="H960" s="40" t="n">
        <x:v>0.16909652285122712</x:v>
      </x:c>
    </x:row>
    <x:row r="961">
      <x:c r="A961" t="n">
        <x:v>912</x:v>
      </x:c>
      <x:c r="B961" s="40" t="n">
        <x:v>0.08239000456105611</x:v>
      </x:c>
      <x:c r="C961" s="40" t="n">
        <x:v>0.07511472175104705</x:v>
      </x:c>
      <x:c r="D961" s="40" t="n">
        <x:v>0.8378671575966087</x:v>
      </x:c>
      <x:c r="E961" s="40" t="n">
        <x:v>0.17199665868650008</x:v>
      </x:c>
      <x:c r="F961" s="40" t="n">
        <x:v>0.03117473452081059</x:v>
      </x:c>
      <x:c r="G961" s="40" t="n">
        <x:v>0.03592194291724586</x:v>
      </x:c>
      <x:c r="H961" s="40" t="n">
        <x:v>0.16767330838607278</x:v>
      </x:c>
    </x:row>
    <x:row r="962">
      <x:c r="A962" t="n">
        <x:v>913</x:v>
      </x:c>
      <x:c r="B962" s="40" t="n">
        <x:v>0.07945330157115987</x:v>
      </x:c>
      <x:c r="C962" s="40" t="n">
        <x:v>0.08984632116715312</x:v>
      </x:c>
      <x:c r="D962" s="40" t="n">
        <x:v>0.6678009142487727</x:v>
      </x:c>
      <x:c r="E962" s="40" t="n">
        <x:v>0.4167010844085307</x:v>
      </x:c>
      <x:c r="F962" s="40" t="n">
        <x:v>0.06568786550123709</x:v>
      </x:c>
      <x:c r="G962" s="40" t="n">
        <x:v>0.3043530089706645</x:v>
      </x:c>
      <x:c r="H962" s="40" t="n">
        <x:v>0.01722026304739383</x:v>
      </x:c>
    </x:row>
    <x:row r="963">
      <x:c r="A963" t="n">
        <x:v>914</x:v>
      </x:c>
      <x:c r="B963" s="40" t="n">
        <x:v>0.08730959789256831</x:v>
      </x:c>
      <x:c r="C963" s="40" t="n">
        <x:v>0.0860718702636216</x:v>
      </x:c>
      <x:c r="D963" s="40" t="n">
        <x:v>0.7883615347371101</x:v>
      </x:c>
      <x:c r="E963" s="40" t="n">
        <x:v>0.022024389570851757</x:v>
      </x:c>
      <x:c r="F963" s="40" t="n">
        <x:v>0.07071398438537457</x:v>
      </x:c>
      <x:c r="G963" s="40" t="n">
        <x:v>0.14794273869686497</x:v>
      </x:c>
      <x:c r="H963" s="40" t="n">
        <x:v>0.04474908202337751</x:v>
      </x:c>
    </x:row>
    <x:row r="964">
      <x:c r="A964" t="n">
        <x:v>915</x:v>
      </x:c>
      <x:c r="B964" s="40" t="n">
        <x:v>0.058730694057214594</x:v>
      </x:c>
      <x:c r="C964" s="40" t="n">
        <x:v>0.05568938329504982</x:v>
      </x:c>
      <x:c r="D964" s="40" t="n">
        <x:v>0.7052843033882137</x:v>
      </x:c>
      <x:c r="E964" s="40" t="n">
        <x:v>0.01872995266685881</x:v>
      </x:c>
      <x:c r="F964" s="40" t="n">
        <x:v>0.050016812592738144</x:v>
      </x:c>
      <x:c r="G964" s="40" t="n">
        <x:v>0.34870260652532503</x:v>
      </x:c>
      <x:c r="H964" s="40" t="n">
        <x:v>0.43598631933944476</x:v>
      </x:c>
    </x:row>
    <x:row r="965">
      <x:c r="A965" t="n">
        <x:v>916</x:v>
      </x:c>
      <x:c r="B965" s="40" t="n">
        <x:v>0.09662248305538006</x:v>
      </x:c>
      <x:c r="C965" s="40" t="n">
        <x:v>0.14221514467458474</x:v>
      </x:c>
      <x:c r="D965" s="40" t="n">
        <x:v>0.5426189811085901</x:v>
      </x:c>
      <x:c r="E965" s="40" t="n">
        <x:v>0.49145084771990044</x:v>
      </x:c>
      <x:c r="F965" s="40" t="n">
        <x:v>0.21620857279484132</x:v>
      </x:c>
      <x:c r="G965" s="40" t="n">
        <x:v>0.02859727597457834</x:v>
      </x:c>
      <x:c r="H965" s="40" t="n">
        <x:v>0.052929050585220926</x:v>
      </x:c>
    </x:row>
    <x:row r="966">
      <x:c r="A966" t="n">
        <x:v>917</x:v>
      </x:c>
      <x:c r="B966" s="40" t="n">
        <x:v>0.07004192259380809</x:v>
      </x:c>
      <x:c r="C966" s="40" t="n">
        <x:v>0.05395235463822632</x:v>
      </x:c>
      <x:c r="D966" s="40" t="n">
        <x:v>0.9376435334319825</x:v>
      </x:c>
      <x:c r="E966" s="40" t="n">
        <x:v>0.09014128731791596</x:v>
      </x:c>
      <x:c r="F966" s="40" t="n">
        <x:v>0.010083806070766404</x:v>
      </x:c>
      <x:c r="G966" s="40" t="n">
        <x:v>0.08523390082986032</x:v>
      </x:c>
      <x:c r="H966" s="40" t="n">
        <x:v>0.11394064973502817</x:v>
      </x:c>
    </x:row>
    <x:row r="967">
      <x:c r="A967" t="n">
        <x:v>918</x:v>
      </x:c>
      <x:c r="B967" s="40" t="n">
        <x:v>0.09343318725112085</x:v>
      </x:c>
      <x:c r="C967" s="40" t="n">
        <x:v>0.10383252694429727</x:v>
      </x:c>
      <x:c r="D967" s="40" t="n">
        <x:v>0.7124871490121989</x:v>
      </x:c>
      <x:c r="E967" s="40" t="n">
        <x:v>0.15224914200107617</x:v>
      </x:c>
      <x:c r="F967" s="40" t="n">
        <x:v>0.16030785159212316</x:v>
      </x:c>
      <x:c r="G967" s="40" t="n">
        <x:v>0.022179939065643122</x:v>
      </x:c>
      <x:c r="H967" s="40" t="n">
        <x:v>0.358827022775689</x:v>
      </x:c>
    </x:row>
    <x:row r="968">
      <x:c r="A968" t="n">
        <x:v>919</x:v>
      </x:c>
      <x:c r="B968" s="40" t="n">
        <x:v>0.07687976045718846</x:v>
      </x:c>
      <x:c r="C968" s="40" t="n">
        <x:v>0.06566225924817003</x:v>
      </x:c>
      <x:c r="D968" s="40" t="n">
        <x:v>0.8745650082843096</x:v>
      </x:c>
      <x:c r="E968" s="40" t="n">
        <x:v>0.10105503012495719</x:v>
      </x:c>
      <x:c r="F968" s="40" t="n">
        <x:v>0.02583824876467298</x:v>
      </x:c>
      <x:c r="G968" s="40" t="n">
        <x:v>0.19992094357954424</x:v>
      </x:c>
      <x:c r="H968" s="40" t="n">
        <x:v>0.09524974982833329</x:v>
      </x:c>
    </x:row>
    <x:row r="969">
      <x:c r="A969" t="n">
        <x:v>920</x:v>
      </x:c>
      <x:c r="B969" s="40" t="n">
        <x:v>0.07908929479147608</x:v>
      </x:c>
      <x:c r="C969" s="40" t="n">
        <x:v>0.06909069776529295</x:v>
      </x:c>
      <x:c r="D969" s="40" t="n">
        <x:v>0.8631472914084134</x:v>
      </x:c>
      <x:c r="E969" s="40" t="n">
        <x:v>0.18752029777197257</x:v>
      </x:c>
      <x:c r="F969" s="40" t="n">
        <x:v>0.00020970188385987135</x:v>
      </x:c>
      <x:c r="G969" s="40" t="n">
        <x:v>0.13284379808035124</x:v>
      </x:c>
      <x:c r="H969" s="40" t="n">
        <x:v>0.006278222503363031</x:v>
      </x:c>
    </x:row>
    <x:row r="970">
      <x:c r="A970" t="n">
        <x:v>921</x:v>
      </x:c>
      <x:c r="B970" s="40" t="n">
        <x:v>0.07255242332412304</x:v>
      </x:c>
      <x:c r="C970" s="40" t="n">
        <x:v>0.07405671707247002</x:v>
      </x:c>
      <x:c r="D970" s="40" t="n">
        <x:v>0.7169987986142562</x:v>
      </x:c>
      <x:c r="E970" s="40" t="n">
        <x:v>0.1302755364752575</x:v>
      </x:c>
      <x:c r="F970" s="40" t="n">
        <x:v>0.16276630922749377</x:v>
      </x:c>
      <x:c r="G970" s="40" t="n">
        <x:v>0.20307992959692217</x:v>
      </x:c>
      <x:c r="H970" s="40" t="n">
        <x:v>0.023689131146078974</x:v>
      </x:c>
    </x:row>
    <x:row r="971">
      <x:c r="A971" t="n">
        <x:v>922</x:v>
      </x:c>
      <x:c r="B971" s="40" t="n">
        <x:v>0.07535294576418285</x:v>
      </x:c>
      <x:c r="C971" s="40" t="n">
        <x:v>0.07574660756073218</x:v>
      </x:c>
      <x:c r="D971" s="40" t="n">
        <x:v>0.7379749590173773</x:v>
      </x:c>
      <x:c r="E971" s="40" t="n">
        <x:v>0.236115470485752</x:v>
      </x:c>
      <x:c r="F971" s="40" t="n">
        <x:v>0.08470147924895198</x:v>
      </x:c>
      <x:c r="G971" s="40" t="n">
        <x:v>0.14503763803670502</x:v>
      </x:c>
      <x:c r="H971" s="40" t="n">
        <x:v>0.1644410362938659</x:v>
      </x:c>
    </x:row>
    <x:row r="972">
      <x:c r="A972" t="n">
        <x:v>923</x:v>
      </x:c>
      <x:c r="B972" s="40" t="n">
        <x:v>0.07326146495427843</x:v>
      </x:c>
      <x:c r="C972" s="40" t="n">
        <x:v>0.06706465766379831</x:v>
      </x:c>
      <x:c r="D972" s="40" t="n">
        <x:v>0.8023245130121314</x:v>
      </x:c>
      <x:c r="E972" s="40" t="n">
        <x:v>0.2019050204339403</x:v>
      </x:c>
      <x:c r="F972" s="40" t="n">
        <x:v>0.06474679199576404</x:v>
      </x:c>
      <x:c r="G972" s="40" t="n">
        <x:v>0.24560093075287384</x:v>
      </x:c>
      <x:c r="H972" s="40" t="n">
        <x:v>0.16701959617255502</x:v>
      </x:c>
    </x:row>
    <x:row r="973">
      <x:c r="A973" t="n">
        <x:v>924</x:v>
      </x:c>
      <x:c r="B973" s="40" t="n">
        <x:v>0.10351194762621757</x:v>
      </x:c>
      <x:c r="C973" s="40" t="n">
        <x:v>0.12012437229016901</x:v>
      </x:c>
      <x:c r="D973" s="40" t="n">
        <x:v>0.6997589237704657</x:v>
      </x:c>
      <x:c r="E973" s="40" t="n">
        <x:v>0.05772562404197405</x:v>
      </x:c>
      <x:c r="F973" s="40" t="n">
        <x:v>0.041845436034307924</x:v>
      </x:c>
      <x:c r="G973" s="40" t="n">
        <x:v>0.017954289939323836</x:v>
      </x:c>
      <x:c r="H973" s="40" t="n">
        <x:v>0.03866946032429025</x:v>
      </x:c>
    </x:row>
    <x:row r="974">
      <x:c r="A974" t="n">
        <x:v>925</x:v>
      </x:c>
      <x:c r="B974" s="40" t="n">
        <x:v>0.08284592335667694</x:v>
      </x:c>
      <x:c r="C974" s="40" t="n">
        <x:v>0.10440599128817914</x:v>
      </x:c>
      <x:c r="D974" s="40" t="n">
        <x:v>0.6071689605231309</x:v>
      </x:c>
      <x:c r="E974" s="40" t="n">
        <x:v>0.5349224601206978</x:v>
      </x:c>
      <x:c r="F974" s="40" t="n">
        <x:v>0.01205295797177362</x:v>
      </x:c>
      <x:c r="G974" s="40" t="n">
        <x:v>0.114296204726224</x:v>
      </x:c>
      <x:c r="H974" s="40" t="n">
        <x:v>0.037012022552570495</x:v>
      </x:c>
    </x:row>
    <x:row r="975">
      <x:c r="A975" t="n">
        <x:v>926</x:v>
      </x:c>
      <x:c r="B975" s="40" t="n">
        <x:v>0.08372107044637728</x:v>
      </x:c>
      <x:c r="C975" s="40" t="n">
        <x:v>0.09517981448543765</x:v>
      </x:c>
      <x:c r="D975" s="40" t="n">
        <x:v>0.6752190539556462</x:v>
      </x:c>
      <x:c r="E975" s="40" t="n">
        <x:v>0.3628211984765924</x:v>
      </x:c>
      <x:c r="F975" s="40" t="n">
        <x:v>0.10135626759592345</x:v>
      </x:c>
      <x:c r="G975" s="40" t="n">
        <x:v>0.25974410570303563</x:v>
      </x:c>
      <x:c r="H975" s="40" t="n">
        <x:v>0.1262583536600593</x:v>
      </x:c>
    </x:row>
    <x:row r="976">
      <x:c r="A976" t="n">
        <x:v>927</x:v>
      </x:c>
      <x:c r="B976" s="40" t="n">
        <x:v>0.09985823194687898</x:v>
      </x:c>
      <x:c r="C976" s="40" t="n">
        <x:v>0.11523917754078769</x:v>
      </x:c>
      <x:c r="D976" s="40" t="n">
        <x:v>0.6977174560671829</x:v>
      </x:c>
      <x:c r="E976" s="40" t="n">
        <x:v>0.389967764285448</x:v>
      </x:c>
      <x:c r="F976" s="40" t="n">
        <x:v>0.056307036006492485</x:v>
      </x:c>
      <x:c r="G976" s="40" t="n">
        <x:v>0.08987957870721486</x:v>
      </x:c>
      <x:c r="H976" s="40" t="n">
        <x:v>0.050838825289950304</x:v>
      </x:c>
    </x:row>
    <x:row r="977">
      <x:c r="A977" t="n">
        <x:v>928</x:v>
      </x:c>
      <x:c r="B977" s="40" t="n">
        <x:v>0.0779982697373055</x:v>
      </x:c>
      <x:c r="C977" s="40" t="n">
        <x:v>0.09744344463915601</x:v>
      </x:c>
      <x:c r="D977" s="40" t="n">
        <x:v>0.6008041259240774</x:v>
      </x:c>
      <x:c r="E977" s="40" t="n">
        <x:v>0.2263268630665762</x:v>
      </x:c>
      <x:c r="F977" s="40" t="n">
        <x:v>0.17835022872404588</x:v>
      </x:c>
      <x:c r="G977" s="40" t="n">
        <x:v>0.037235207196752676</x:v>
      </x:c>
      <x:c r="H977" s="40" t="n">
        <x:v>0.06906789455522361</x:v>
      </x:c>
    </x:row>
    <x:row r="978">
      <x:c r="A978" t="n">
        <x:v>929</x:v>
      </x:c>
      <x:c r="B978" s="40" t="n">
        <x:v>0.07658457652593917</x:v>
      </x:c>
      <x:c r="C978" s="40" t="n">
        <x:v>0.09034771889905929</x:v>
      </x:c>
      <x:c r="D978" s="40" t="n">
        <x:v>0.6323428091850569</x:v>
      </x:c>
      <x:c r="E978" s="40" t="n">
        <x:v>0.05378643203699997</x:v>
      </x:c>
      <x:c r="F978" s="40" t="n">
        <x:v>0.2281755150421948</x:v>
      </x:c>
      <x:c r="G978" s="40" t="n">
        <x:v>0.16279942963037156</x:v>
      </x:c>
      <x:c r="H978" s="40" t="n">
        <x:v>0.4321503685421762</x:v>
      </x:c>
    </x:row>
    <x:row r="979">
      <x:c r="A979" t="n">
        <x:v>930</x:v>
      </x:c>
      <x:c r="B979" s="40" t="n">
        <x:v>0.07939115950833722</x:v>
      </x:c>
      <x:c r="C979" s="40" t="n">
        <x:v>0.09482237884961467</x:v>
      </x:c>
      <x:c r="D979" s="40" t="n">
        <x:v>0.6321009247147213</x:v>
      </x:c>
      <x:c r="E979" s="40" t="n">
        <x:v>0.2277861957000142</x:v>
      </x:c>
      <x:c r="F979" s="40" t="n">
        <x:v>0.16047530864405946</x:v>
      </x:c>
      <x:c r="G979" s="40" t="n">
        <x:v>0.023510029909630664</x:v>
      </x:c>
      <x:c r="H979" s="40" t="n">
        <x:v>0.07394222206515381</x:v>
      </x:c>
    </x:row>
    <x:row r="980">
      <x:c r="A980" t="n">
        <x:v>931</x:v>
      </x:c>
      <x:c r="B980" s="40" t="n">
        <x:v>0.057009395420165726</x:v>
      </x:c>
      <x:c r="C980" s="40" t="n">
        <x:v>0.056760570617318686</x:v>
      </x:c>
      <x:c r="D980" s="40" t="n">
        <x:v>0.6616485503558467</x:v>
      </x:c>
      <x:c r="E980" s="40" t="n">
        <x:v>0.05172434970053674</x:v>
      </x:c>
      <x:c r="F980" s="40" t="n">
        <x:v>0.08510594889006566</x:v>
      </x:c>
      <x:c r="G980" s="40" t="n">
        <x:v>0.5794656129775418</x:v>
      </x:c>
      <x:c r="H980" s="40" t="n">
        <x:v>0.1369718391062309</x:v>
      </x:c>
    </x:row>
    <x:row r="981">
      <x:c r="A981" t="n">
        <x:v>932</x:v>
      </x:c>
      <x:c r="B981" s="40" t="n">
        <x:v>0.05864834288874436</x:v>
      </x:c>
      <x:c r="C981" s="40" t="n">
        <x:v>0.05929100302596403</x:v>
      </x:c>
      <x:c r="D981" s="40" t="n">
        <x:v>0.6610530221209887</x:v>
      </x:c>
      <x:c r="E981" s="40" t="n">
        <x:v>0.05031382552549453</x:v>
      </x:c>
      <x:c r="F981" s="40" t="n">
        <x:v>0.06852062170848587</x:v>
      </x:c>
      <x:c r="G981" s="40" t="n">
        <x:v>0.10042820237072601</x:v>
      </x:c>
      <x:c r="H981" s="40" t="n">
        <x:v>0.02626106884470747</x:v>
      </x:c>
    </x:row>
    <x:row r="982">
      <x:c r="A982" t="n">
        <x:v>933</x:v>
      </x:c>
      <x:c r="B982" s="40" t="n">
        <x:v>0.0831623941896273</x:v>
      </x:c>
      <x:c r="C982" s="40" t="n">
        <x:v>0.10392025888209147</x:v>
      </x:c>
      <x:c r="D982" s="40" t="n">
        <x:v>0.6130522452611019</x:v>
      </x:c>
      <x:c r="E982" s="40" t="n">
        <x:v>0.2344543225795881</x:v>
      </x:c>
      <x:c r="F982" s="40" t="n">
        <x:v>0.2317363676693757</x:v>
      </x:c>
      <x:c r="G982" s="40" t="n">
        <x:v>0.15663521262896268</x:v>
      </x:c>
      <x:c r="H982" s="40" t="n">
        <x:v>0.08070986415995125</x:v>
      </x:c>
    </x:row>
    <x:row r="983">
      <x:c r="A983" t="n">
        <x:v>934</x:v>
      </x:c>
      <x:c r="B983" s="40" t="n">
        <x:v>0.08914170941284952</x:v>
      </x:c>
      <x:c r="C983" s="40" t="n">
        <x:v>0.08751502366702879</x:v>
      </x:c>
      <x:c r="D983" s="40" t="n">
        <x:v>0.796295999691973</x:v>
      </x:c>
      <x:c r="E983" s="40" t="n">
        <x:v>0.17318993071390856</x:v>
      </x:c>
      <x:c r="F983" s="40" t="n">
        <x:v>0.07805864025999466</x:v>
      </x:c>
      <x:c r="G983" s="40" t="n">
        <x:v>0.06734076218252326</x:v>
      </x:c>
      <x:c r="H983" s="40" t="n">
        <x:v>0.012366670799475532</x:v>
      </x:c>
    </x:row>
    <x:row r="984">
      <x:c r="A984" t="n">
        <x:v>935</x:v>
      </x:c>
      <x:c r="B984" s="40" t="n">
        <x:v>0.07530728282528759</x:v>
      </x:c>
      <x:c r="C984" s="40" t="n">
        <x:v>0.07683754820859451</x:v>
      </x:c>
      <x:c r="D984" s="40" t="n">
        <x:v>0.7269029006471353</x:v>
      </x:c>
      <x:c r="E984" s="40" t="n">
        <x:v>0.04342739274365718</x:v>
      </x:c>
      <x:c r="F984" s="40" t="n">
        <x:v>0.1724681566932337</x:v>
      </x:c>
      <x:c r="G984" s="40" t="n">
        <x:v>0.30535501290222317</x:v>
      </x:c>
      <x:c r="H984" s="40" t="n">
        <x:v>0.30107593924176157</x:v>
      </x:c>
    </x:row>
    <x:row r="985">
      <x:c r="A985" t="n">
        <x:v>936</x:v>
      </x:c>
      <x:c r="B985" s="40" t="n">
        <x:v>0.06563447096052547</x:v>
      </x:c>
      <x:c r="C985" s="40" t="n">
        <x:v>0.06569076735932784</x:v>
      </x:c>
      <x:c r="D985" s="40" t="n">
        <x:v>0.7030002337173465</x:v>
      </x:c>
      <x:c r="E985" s="40" t="n">
        <x:v>0.18736947122395228</x:v>
      </x:c>
      <x:c r="F985" s="40" t="n">
        <x:v>0.03721538361544452</x:v>
      </x:c>
      <x:c r="G985" s="40" t="n">
        <x:v>0.04968099899098786</x:v>
      </x:c>
      <x:c r="H985" s="40" t="n">
        <x:v>0.12049377851489579</x:v>
      </x:c>
    </x:row>
    <x:row r="986">
      <x:c r="A986" t="n">
        <x:v>937</x:v>
      </x:c>
      <x:c r="B986" s="40" t="n">
        <x:v>0.06957330500402831</x:v>
      </x:c>
      <x:c r="C986" s="40" t="n">
        <x:v>0.07049323865411045</x:v>
      </x:c>
      <x:c r="D986" s="40" t="n">
        <x:v>0.710982497145628</x:v>
      </x:c>
      <x:c r="E986" s="40" t="n">
        <x:v>0.007966642990681862</x:v>
      </x:c>
      <x:c r="F986" s="40" t="n">
        <x:v>0.22479551153668811</x:v>
      </x:c>
      <x:c r="G986" s="40" t="n">
        <x:v>0.47652652973417275</x:v>
      </x:c>
      <x:c r="H986" s="40" t="n">
        <x:v>0.0028251433499407843</x:v>
      </x:c>
    </x:row>
    <x:row r="987">
      <x:c r="A987" t="n">
        <x:v>938</x:v>
      </x:c>
      <x:c r="B987" s="40" t="n">
        <x:v>0.10499726409567058</x:v>
      </x:c>
      <x:c r="C987" s="40" t="n">
        <x:v>0.20051823530093288</x:v>
      </x:c>
      <x:c r="D987" s="40" t="n">
        <x:v>0.4266116635898124</x:v>
      </x:c>
      <x:c r="E987" s="40" t="n">
        <x:v>0.29472066205592784</x:v>
      </x:c>
      <x:c r="F987" s="40" t="n">
        <x:v>0.5847004824956823</x:v>
      </x:c>
      <x:c r="G987" s="40" t="n">
        <x:v>0.001146414648047509</x:v>
      </x:c>
      <x:c r="H987" s="40" t="n">
        <x:v>0.025331081775632185</x:v>
      </x:c>
    </x:row>
    <x:row r="988">
      <x:c r="A988" t="n">
        <x:v>939</x:v>
      </x:c>
      <x:c r="B988" s="40" t="n">
        <x:v>0.09095907117217025</x:v>
      </x:c>
      <x:c r="C988" s="40" t="n">
        <x:v>0.11527458033636942</x:v>
      </x:c>
      <x:c r="D988" s="40" t="n">
        <x:v>0.6203034945750656</x:v>
      </x:c>
      <x:c r="E988" s="40" t="n">
        <x:v>0.37408081774440666</x:v>
      </x:c>
      <x:c r="F988" s="40" t="n">
        <x:v>0.14438143843938653</x:v>
      </x:c>
      <x:c r="G988" s="40" t="n">
        <x:v>0.026422660733211693</x:v>
      </x:c>
      <x:c r="H988" s="40" t="n">
        <x:v>0.24633136247251847</x:v>
      </x:c>
    </x:row>
    <x:row r="989">
      <x:c r="A989" t="n">
        <x:v>940</x:v>
      </x:c>
      <x:c r="B989" s="40" t="n">
        <x:v>0.07272819461674561</x:v>
      </x:c>
      <x:c r="C989" s="40" t="n">
        <x:v>0.0722040673775443</x:v>
      </x:c>
      <x:c r="D989" s="40" t="n">
        <x:v>0.7378302967938888</x:v>
      </x:c>
      <x:c r="E989" s="40" t="n">
        <x:v>0.0882022037869341</x:v>
      </x:c>
      <x:c r="F989" s="40" t="n">
        <x:v>0.12358646061672923</x:v>
      </x:c>
      <x:c r="G989" s="40" t="n">
        <x:v>0.06667998364120524</x:v>
      </x:c>
      <x:c r="H989" s="40" t="n">
        <x:v>0.35005210681446786</x:v>
      </x:c>
    </x:row>
    <x:row r="990">
      <x:c r="A990" t="n">
        <x:v>941</x:v>
      </x:c>
      <x:c r="B990" s="40" t="n">
        <x:v>0.08104389109989679</x:v>
      </x:c>
      <x:c r="C990" s="40" t="n">
        <x:v>0.07730955954533536</x:v>
      </x:c>
      <x:c r="D990" s="40" t="n">
        <x:v>0.7966679063788148</x:v>
      </x:c>
      <x:c r="E990" s="40" t="n">
        <x:v>0.2046405240558157</x:v>
      </x:c>
      <x:c r="F990" s="40" t="n">
        <x:v>0.022185639324556198</x:v>
      </x:c>
      <x:c r="G990" s="40" t="n">
        <x:v>0.12562185114255908</x:v>
      </x:c>
      <x:c r="H990" s="40" t="n">
        <x:v>0.3211772361892343</x:v>
      </x:c>
    </x:row>
    <x:row r="991">
      <x:c r="A991" t="n">
        <x:v>942</x:v>
      </x:c>
      <x:c r="B991" s="40" t="n">
        <x:v>0.08512221550228512</x:v>
      </x:c>
      <x:c r="C991" s="40" t="n">
        <x:v>0.09569585676889426</x:v>
      </x:c>
      <x:c r="D991" s="40" t="n">
        <x:v>0.6862195665067113</x:v>
      </x:c>
      <x:c r="E991" s="40" t="n">
        <x:v>0.39527423336808554</x:v>
      </x:c>
      <x:c r="F991" s="40" t="n">
        <x:v>0.024701126583058154</x:v>
      </x:c>
      <x:c r="G991" s="40" t="n">
        <x:v>0.08549721376244263</x:v>
      </x:c>
      <x:c r="H991" s="40" t="n">
        <x:v>0.2705666938573875</x:v>
      </x:c>
    </x:row>
    <x:row r="992">
      <x:c r="A992" t="n">
        <x:v>943</x:v>
      </x:c>
      <x:c r="B992" s="40" t="n">
        <x:v>0.056440191712590994</x:v>
      </x:c>
      <x:c r="C992" s="40" t="n">
        <x:v>0.047986147158601555</x:v>
      </x:c>
      <x:c r="D992" s="40" t="n">
        <x:v>0.7707713110723249</x:v>
      </x:c>
      <x:c r="E992" s="40" t="n">
        <x:v>0.05052514742633541</x:v>
      </x:c>
      <x:c r="F992" s="40" t="n">
        <x:v>0.00330285045013937</x:v>
      </x:c>
      <x:c r="G992" s="40" t="n">
        <x:v>0.36095419958174313</x:v>
      </x:c>
      <x:c r="H992" s="40" t="n">
        <x:v>0.3147223440433295</x:v>
      </x:c>
    </x:row>
    <x:row r="993">
      <x:c r="A993" t="n">
        <x:v>944</x:v>
      </x:c>
      <x:c r="B993" s="40" t="n">
        <x:v>0.10130903736181279</x:v>
      </x:c>
      <x:c r="C993" s="40" t="n">
        <x:v>0.15416783878300033</x:v>
      </x:c>
      <x:c r="D993" s="40" t="n">
        <x:v>0.5309485548615772</x:v>
      </x:c>
      <x:c r="E993" s="40" t="n">
        <x:v>0.16111682355518755</x:v>
      </x:c>
      <x:c r="F993" s="40" t="n">
        <x:v>0.4547703553271736</x:v>
      </x:c>
      <x:c r="G993" s="40" t="n">
        <x:v>0.0328290088860727</x:v>
      </x:c>
      <x:c r="H993" s="40" t="n">
        <x:v>0.03324480638376459</x:v>
      </x:c>
    </x:row>
    <x:row r="994">
      <x:c r="A994" t="n">
        <x:v>945</x:v>
      </x:c>
      <x:c r="B994" s="40" t="n">
        <x:v>0.07472819880055631</x:v>
      </x:c>
      <x:c r="C994" s="40" t="n">
        <x:v>0.07608976602396034</x:v>
      </x:c>
      <x:c r="D994" s="40" t="n">
        <x:v>0.7264360969293098</x:v>
      </x:c>
      <x:c r="E994" s="40" t="n">
        <x:v>0.1931849225914286</x:v>
      </x:c>
      <x:c r="F994" s="40" t="n">
        <x:v>0.09027789510780075</x:v>
      </x:c>
      <x:c r="G994" s="40" t="n">
        <x:v>0.2857049216434093</x:v>
      </x:c>
      <x:c r="H994" s="40" t="n">
        <x:v>0.33110608182467643</x:v>
      </x:c>
    </x:row>
    <x:row r="995">
      <x:c r="A995" t="n">
        <x:v>946</x:v>
      </x:c>
      <x:c r="B995" s="40" t="n">
        <x:v>0.08070801258810487</x:v>
      </x:c>
      <x:c r="C995" s="40" t="n">
        <x:v>0.07905270591552761</x:v>
      </x:c>
      <x:c r="D995" s="40" t="n">
        <x:v>0.7748522422459811</x:v>
      </x:c>
      <x:c r="E995" s="40" t="n">
        <x:v>0.12930461433151963</x:v>
      </x:c>
      <x:c r="F995" s="40" t="n">
        <x:v>0.023286416779986923</x:v>
      </x:c>
      <x:c r="G995" s="40" t="n">
        <x:v>0.29752089285522326</x:v>
      </x:c>
      <x:c r="H995" s="40" t="n">
        <x:v>0.14575085527817133</x:v>
      </x:c>
    </x:row>
    <x:row r="996">
      <x:c r="A996" t="n">
        <x:v>947</x:v>
      </x:c>
      <x:c r="B996" s="40" t="n">
        <x:v>0.07394444435043167</x:v>
      </x:c>
      <x:c r="C996" s="40" t="n">
        <x:v>0.08044661489842139</x:v>
      </x:c>
      <x:c r="D996" s="40" t="n">
        <x:v>0.6773510391380655</x:v>
      </x:c>
      <x:c r="E996" s="40" t="n">
        <x:v>0.3091250739838768</x:v>
      </x:c>
      <x:c r="F996" s="40" t="n">
        <x:v>0.008964897889001311</x:v>
      </x:c>
      <x:c r="G996" s="40" t="n">
        <x:v>0.1435427958035373</x:v>
      </x:c>
      <x:c r="H996" s="40" t="n">
        <x:v>0.48721653188223707</x:v>
      </x:c>
    </x:row>
    <x:row r="997">
      <x:c r="A997" t="n">
        <x:v>948</x:v>
      </x:c>
      <x:c r="B997" s="40" t="n">
        <x:v>0.0984776748176576</x:v>
      </x:c>
      <x:c r="C997" s="40" t="n">
        <x:v>0.11629387583027762</x:v>
      </x:c>
      <x:c r="D997" s="40" t="n">
        <x:v>0.679518401976222</x:v>
      </x:c>
      <x:c r="E997" s="40" t="n">
        <x:v>0.06527471242823939</x:v>
      </x:c>
      <x:c r="F997" s="40" t="n">
        <x:v>0.2912298545413863</x:v>
      </x:c>
      <x:c r="G997" s="40" t="n">
        <x:v>0.12116103731091481</x:v>
      </x:c>
      <x:c r="H997" s="40" t="n">
        <x:v>0.11810697089302874</x:v>
      </x:c>
    </x:row>
    <x:row r="998">
      <x:c r="A998" t="n">
        <x:v>949</x:v>
      </x:c>
      <x:c r="B998" s="40" t="n">
        <x:v>0.08004646566640475</x:v>
      </x:c>
      <x:c r="C998" s="40" t="n">
        <x:v>0.08112012566403987</x:v>
      </x:c>
      <x:c r="D998" s="40" t="n">
        <x:v>0.7469492806693098</x:v>
      </x:c>
      <x:c r="E998" s="40" t="n">
        <x:v>0.20979897756335242</x:v>
      </x:c>
      <x:c r="F998" s="40" t="n">
        <x:v>0.09763376465161147</x:v>
      </x:c>
      <x:c r="G998" s="40" t="n">
        <x:v>0.12866956722732806</x:v>
      </x:c>
      <x:c r="H998" s="40" t="n">
        <x:v>0.2660107636276343</x:v>
      </x:c>
    </x:row>
    <x:row r="999">
      <x:c r="A999" t="n">
        <x:v>950</x:v>
      </x:c>
      <x:c r="B999" s="40" t="n">
        <x:v>0.08305765727005546</x:v>
      </x:c>
      <x:c r="C999" s="40" t="n">
        <x:v>0.07684140819215571</x:v>
      </x:c>
      <x:c r="D999" s="40" t="n">
        <x:v>0.8277283383089047</x:v>
      </x:c>
      <x:c r="E999" s="40" t="n">
        <x:v>0.0747238177845361</x:v>
      </x:c>
      <x:c r="F999" s="40" t="n">
        <x:v>0.049494494403856795</x:v>
      </x:c>
      <x:c r="G999" s="40" t="n">
        <x:v>0.06203135858778314</x:v>
      </x:c>
      <x:c r="H999" s="40" t="n">
        <x:v>0.3160015109403765</x:v>
      </x:c>
    </x:row>
    <x:row r="1000">
      <x:c r="A1000" t="n">
        <x:v>951</x:v>
      </x:c>
      <x:c r="B1000" s="40" t="n">
        <x:v>0.10155561266677307</x:v>
      </x:c>
      <x:c r="C1000" s="40" t="n">
        <x:v>0.1140097113135306</x:v>
      </x:c>
      <x:c r="D1000" s="40" t="n">
        <x:v>0.7201295886728829</x:v>
      </x:c>
      <x:c r="E1000" s="40" t="n">
        <x:v>0.10315675055275354</x:v>
      </x:c>
      <x:c r="F1000" s="40" t="n">
        <x:v>0.05426014945879202</x:v>
      </x:c>
      <x:c r="G1000" s="40" t="n">
        <x:v>0.050356608241361143</x:v>
      </x:c>
      <x:c r="H1000" s="40" t="n">
        <x:v>0.037466767995707466</x:v>
      </x:c>
    </x:row>
    <x:row r="1001">
      <x:c r="A1001" t="n">
        <x:v>952</x:v>
      </x:c>
      <x:c r="B1001" s="40" t="n">
        <x:v>0.0671894592542104</x:v>
      </x:c>
      <x:c r="C1001" s="40" t="n">
        <x:v>0.07313287526857278</x:v>
      </x:c>
      <x:c r="D1001" s="40" t="n">
        <x:v>0.6527244132691383</x:v>
      </x:c>
      <x:c r="E1001" s="40" t="n">
        <x:v>0.09332540843352795</x:v>
      </x:c>
      <x:c r="F1001" s="40" t="n">
        <x:v>0.16174505623251423</x:v>
      </x:c>
      <x:c r="G1001" s="40" t="n">
        <x:v>0.43773215025841866</x:v>
      </x:c>
      <x:c r="H1001" s="40" t="n">
        <x:v>0.29809095220494347</x:v>
      </x:c>
    </x:row>
    <x:row r="1002">
      <x:c r="A1002" t="n">
        <x:v>953</x:v>
      </x:c>
      <x:c r="B1002" s="40" t="n">
        <x:v>0.07842948216844778</x:v>
      </x:c>
      <x:c r="C1002" s="40" t="n">
        <x:v>0.0977082335773865</x:v>
      </x:c>
      <x:c r="D1002" s="40" t="n">
        <x:v>0.6035892151083866</x:v>
      </x:c>
      <x:c r="E1002" s="40" t="n">
        <x:v>0.2491270490622216</x:v>
      </x:c>
      <x:c r="F1002" s="40" t="n">
        <x:v>0.20203387322608288</x:v>
      </x:c>
      <x:c r="G1002" s="40" t="n">
        <x:v>0.26604926160089937</x:v>
      </x:c>
      <x:c r="H1002" s="40" t="n">
        <x:v>0.24152380578516225</x:v>
      </x:c>
    </x:row>
    <x:row r="1003">
      <x:c r="A1003" t="n">
        <x:v>954</x:v>
      </x:c>
      <x:c r="B1003" s="40" t="n">
        <x:v>0.09909160973098104</x:v>
      </x:c>
      <x:c r="C1003" s="40" t="n">
        <x:v>0.10797694226423526</x:v>
      </x:c>
      <x:c r="D1003" s="40" t="n">
        <x:v>0.7375441636627356</x:v>
      </x:c>
      <x:c r="E1003" s="40" t="n">
        <x:v>0.0382588087681729</x:v>
      </x:c>
      <x:c r="F1003" s="40" t="n">
        <x:v>0.12319542198003788</x:v>
      </x:c>
      <x:c r="G1003" s="40" t="n">
        <x:v>0.05307627050695236</x:v>
      </x:c>
      <x:c r="H1003" s="40" t="n">
        <x:v>0.1249626725246348</x:v>
      </x:c>
    </x:row>
    <x:row r="1004">
      <x:c r="A1004" t="n">
        <x:v>955</x:v>
      </x:c>
      <x:c r="B1004" s="40" t="n">
        <x:v>0.06061849732659956</x:v>
      </x:c>
      <x:c r="C1004" s="40" t="n">
        <x:v>0.0557723943539327</x:v>
      </x:c>
      <x:c r="D1004" s="40" t="n">
        <x:v>0.7380829109025108</x:v>
      </x:c>
      <x:c r="E1004" s="40" t="n">
        <x:v>0.0683181980639005</x:v>
      </x:c>
      <x:c r="F1004" s="40" t="n">
        <x:v>0.07904387676666601</x:v>
      </x:c>
      <x:c r="G1004" s="40" t="n">
        <x:v>0.4947156695136457</x:v>
      </x:c>
      <x:c r="H1004" s="40" t="n">
        <x:v>0.16489455013555346</x:v>
      </x:c>
    </x:row>
    <x:row r="1005">
      <x:c r="A1005" t="n">
        <x:v>956</x:v>
      </x:c>
      <x:c r="B1005" s="40" t="n">
        <x:v>0.0947627556338345</x:v>
      </x:c>
      <x:c r="C1005" s="40" t="n">
        <x:v>0.10226300610060372</x:v>
      </x:c>
      <x:c r="D1005" s="40" t="n">
        <x:v>0.7364237797381135</x:v>
      </x:c>
      <x:c r="E1005" s="40" t="n">
        <x:v>0.2735018844786239</x:v>
      </x:c>
      <x:c r="F1005" s="40" t="n">
        <x:v>0.09431468754260765</x:v>
      </x:c>
      <x:c r="G1005" s="40" t="n">
        <x:v>0.039507247364979334</x:v>
      </x:c>
      <x:c r="H1005" s="40" t="n">
        <x:v>0.03749507971663698</x:v>
      </x:c>
    </x:row>
    <x:row r="1006">
      <x:c r="A1006" t="n">
        <x:v>957</x:v>
      </x:c>
      <x:c r="B1006" s="40" t="n">
        <x:v>0.09710385844746898</x:v>
      </x:c>
      <x:c r="C1006" s="40" t="n">
        <x:v>0.14524458118668507</x:v>
      </x:c>
      <x:c r="D1006" s="40" t="n">
        <x:v>0.5346155543924773</x:v>
      </x:c>
      <x:c r="E1006" s="40" t="n">
        <x:v>0.21786353913708068</x:v>
      </x:c>
      <x:c r="F1006" s="40" t="n">
        <x:v>0.3830054431750774</x:v>
      </x:c>
      <x:c r="G1006" s="40" t="n">
        <x:v>0.04157359270468159</x:v>
      </x:c>
      <x:c r="H1006" s="40" t="n">
        <x:v>0.22087685690988137</x:v>
      </x:c>
    </x:row>
    <x:row r="1007">
      <x:c r="A1007" t="n">
        <x:v>958</x:v>
      </x:c>
      <x:c r="B1007" s="40" t="n">
        <x:v>0.09250019679188001</x:v>
      </x:c>
      <x:c r="C1007" s="40" t="n">
        <x:v>0.15537857199072735</x:v>
      </x:c>
      <x:c r="D1007" s="40" t="n">
        <x:v>0.4701185607652071</x:v>
      </x:c>
      <x:c r="E1007" s="40" t="n">
        <x:v>0.33636250656282496</x:v>
      </x:c>
      <x:c r="F1007" s="40" t="n">
        <x:v>0.38525238396148503</x:v>
      </x:c>
      <x:c r="G1007" s="40" t="n">
        <x:v>0.05721460216185709</x:v>
      </x:c>
      <x:c r="H1007" s="40" t="n">
        <x:v>0.0031706039594446658</x:v>
      </x:c>
    </x:row>
    <x:row r="1008">
      <x:c r="A1008" t="n">
        <x:v>959</x:v>
      </x:c>
      <x:c r="B1008" s="40" t="n">
        <x:v>0.09731773845653462</x:v>
      </x:c>
      <x:c r="C1008" s="40" t="n">
        <x:v>0.10547011056482247</x:v>
      </x:c>
      <x:c r="D1008" s="40" t="n">
        <x:v>0.738255529322053</x:v>
      </x:c>
      <x:c r="E1008" s="40" t="n">
        <x:v>0.17923358077124624</x:v>
      </x:c>
      <x:c r="F1008" s="40" t="n">
        <x:v>0.044888391477944</x:v>
      </x:c>
      <x:c r="G1008" s="40" t="n">
        <x:v>0.12091023863335222</x:v>
      </x:c>
      <x:c r="H1008" s="40" t="n">
        <x:v>0.033604739600604026</x:v>
      </x:c>
    </x:row>
    <x:row r="1009">
      <x:c r="A1009" t="n">
        <x:v>960</x:v>
      </x:c>
      <x:c r="B1009" s="40" t="n">
        <x:v>0.08882083638177143</x:v>
      </x:c>
      <x:c r="C1009" s="40" t="n">
        <x:v>0.09549091154404117</x:v>
      </x:c>
      <x:c r="D1009" s="40" t="n">
        <x:v>0.7264250503665228</x:v>
      </x:c>
      <x:c r="E1009" s="40" t="n">
        <x:v>0.013256964309671618</x:v>
      </x:c>
      <x:c r="F1009" s="40" t="n">
        <x:v>0.19194140642183183</x:v>
      </x:c>
      <x:c r="G1009" s="40" t="n">
        <x:v>0.29901363888199334</x:v>
      </x:c>
      <x:c r="H1009" s="40" t="n">
        <x:v>0.13123574708712196</x:v>
      </x:c>
    </x:row>
    <x:row r="1010">
      <x:c r="A1010" t="n">
        <x:v>961</x:v>
      </x:c>
      <x:c r="B1010" s="40" t="n">
        <x:v>0.09851119961790714</x:v>
      </x:c>
      <x:c r="C1010" s="40" t="n">
        <x:v>0.10558477906672853</x:v>
      </x:c>
      <x:c r="D1010" s="40" t="n">
        <x:v>0.7487571046021465</x:v>
      </x:c>
      <x:c r="E1010" s="40" t="n">
        <x:v>0.14398899175065724</x:v>
      </x:c>
      <x:c r="F1010" s="40" t="n">
        <x:v>0.08657232429313144</x:v>
      </x:c>
      <x:c r="G1010" s="40" t="n">
        <x:v>0.06627711574925314</x:v>
      </x:c>
      <x:c r="H1010" s="40" t="n">
        <x:v>0.022590646260845258</x:v>
      </x:c>
    </x:row>
    <x:row r="1011">
      <x:c r="A1011" t="n">
        <x:v>962</x:v>
      </x:c>
      <x:c r="B1011" s="40" t="n">
        <x:v>0.09560085092154477</x:v>
      </x:c>
      <x:c r="C1011" s="40" t="n">
        <x:v>0.10665890232574683</x:v>
      </x:c>
      <x:c r="D1011" s="40" t="n">
        <x:v>0.7139301371688426</x:v>
      </x:c>
      <x:c r="E1011" s="40" t="n">
        <x:v>0.21904697130626247</x:v>
      </x:c>
      <x:c r="F1011" s="40" t="n">
        <x:v>0.17734709645515384</x:v>
      </x:c>
      <x:c r="G1011" s="40" t="n">
        <x:v>0.08974787027443049</x:v>
      </x:c>
      <x:c r="H1011" s="40" t="n">
        <x:v>0.008259004519457148</x:v>
      </x:c>
    </x:row>
    <x:row r="1012">
      <x:c r="A1012" t="n">
        <x:v>963</x:v>
      </x:c>
      <x:c r="B1012" s="40" t="n">
        <x:v>0.08422637524455945</x:v>
      </x:c>
      <x:c r="C1012" s="40" t="n">
        <x:v>0.11898683930295186</x:v>
      </x:c>
      <x:c r="D1012" s="40" t="n">
        <x:v>0.5443671709422943</x:v>
      </x:c>
      <x:c r="E1012" s="40" t="n">
        <x:v>0.4471893638532144</x:v>
      </x:c>
      <x:c r="F1012" s="40" t="n">
        <x:v>0.12964891794148567</x:v>
      </x:c>
      <x:c r="G1012" s="40" t="n">
        <x:v>0.0042679051332721</x:v>
      </x:c>
      <x:c r="H1012" s="40" t="n">
        <x:v>0.1658784029243246</x:v>
      </x:c>
    </x:row>
    <x:row r="1013">
      <x:c r="A1013" t="n">
        <x:v>964</x:v>
      </x:c>
      <x:c r="B1013" s="40" t="n">
        <x:v>0.0865262322128134</x:v>
      </x:c>
      <x:c r="C1013" s="40" t="n">
        <x:v>0.10247477132550689</x:v>
      </x:c>
      <x:c r="D1013" s="40" t="n">
        <x:v>0.654525842716102</x:v>
      </x:c>
      <x:c r="E1013" s="40" t="n">
        <x:v>0.09354853715468874</x:v>
      </x:c>
      <x:c r="F1013" s="40" t="n">
        <x:v>0.25391575626563123</x:v>
      </x:c>
      <x:c r="G1013" s="40" t="n">
        <x:v>0.13224861586605727</x:v>
      </x:c>
      <x:c r="H1013" s="40" t="n">
        <x:v>0.3221599044158563</x:v>
      </x:c>
    </x:row>
    <x:row r="1014">
      <x:c r="A1014" t="n">
        <x:v>965</x:v>
      </x:c>
      <x:c r="B1014" s="40" t="n">
        <x:v>0.08595320193910319</x:v>
      </x:c>
      <x:c r="C1014" s="40" t="n">
        <x:v>0.09242019097357015</x:v>
      </x:c>
      <x:c r="D1014" s="40" t="n">
        <x:v>0.7195327675126117</x:v>
      </x:c>
      <x:c r="E1014" s="40" t="n">
        <x:v>0.20259718894422157</x:v>
      </x:c>
      <x:c r="F1014" s="40" t="n">
        <x:v>0.14794705153082127</x:v>
      </x:c>
      <x:c r="G1014" s="40" t="n">
        <x:v>0.15670176065818292</x:v>
      </x:c>
      <x:c r="H1014" s="40" t="n">
        <x:v>0.22776335383726956</x:v>
      </x:c>
    </x:row>
    <x:row r="1015">
      <x:c r="A1015" t="n">
        <x:v>966</x:v>
      </x:c>
      <x:c r="B1015" s="40" t="n">
        <x:v>0.08256119884091517</x:v>
      </x:c>
      <x:c r="C1015" s="40" t="n">
        <x:v>0.08635699406372065</x:v>
      </x:c>
      <x:c r="D1015" s="40" t="n">
        <x:v>0.7307729196838845</x:v>
      </x:c>
      <x:c r="E1015" s="40" t="n">
        <x:v>0.16775213159223146</x:v>
      </x:c>
      <x:c r="F1015" s="40" t="n">
        <x:v>0.16709535326504038</x:v>
      </x:c>
      <x:c r="G1015" s="40" t="n">
        <x:v>0.39655691044253544</x:v>
      </x:c>
      <x:c r="H1015" s="40" t="n">
        <x:v>0.047888848015571514</x:v>
      </x:c>
    </x:row>
    <x:row r="1016">
      <x:c r="A1016" t="n">
        <x:v>967</x:v>
      </x:c>
      <x:c r="B1016" s="40" t="n">
        <x:v>0.10327046772267749</x:v>
      </x:c>
      <x:c r="C1016" s="40" t="n">
        <x:v>0.18481884706539428</x:v>
      </x:c>
      <x:c r="D1016" s="40" t="n">
        <x:v>0.45350689553416906</x:v>
      </x:c>
      <x:c r="E1016" s="40" t="n">
        <x:v>0.039540509217591134</x:v>
      </x:c>
      <x:c r="F1016" s="40" t="n">
        <x:v>0.6351537999799831</x:v>
      </x:c>
      <x:c r="G1016" s="40" t="n">
        <x:v>0.031239424228243214</x:v>
      </x:c>
      <x:c r="H1016" s="40" t="n">
        <x:v>0.18382460670706144</x:v>
      </x:c>
    </x:row>
    <x:row r="1017">
      <x:c r="A1017" t="n">
        <x:v>968</x:v>
      </x:c>
      <x:c r="B1017" s="40" t="n">
        <x:v>0.08157816090432751</x:v>
      </x:c>
      <x:c r="C1017" s="40" t="n">
        <x:v>0.1088962199983283</x:v>
      </x:c>
      <x:c r="D1017" s="40" t="n">
        <x:v>0.5704910120060646</x:v>
      </x:c>
      <x:c r="E1017" s="40" t="n">
        <x:v>0.04369633059863535</x:v>
      </x:c>
      <x:c r="F1017" s="40" t="n">
        <x:v>0.3808666330299863</x:v>
      </x:c>
      <x:c r="G1017" s="40" t="n">
        <x:v>0.3450982326022542</x:v>
      </x:c>
      <x:c r="H1017" s="40" t="n">
        <x:v>0.04777025463248174</x:v>
      </x:c>
    </x:row>
    <x:row r="1018">
      <x:c r="A1018" t="n">
        <x:v>969</x:v>
      </x:c>
      <x:c r="B1018" s="40" t="n">
        <x:v>0.08558241355864474</x:v>
      </x:c>
      <x:c r="C1018" s="40" t="n">
        <x:v>0.0853007784443623</x:v>
      </x:c>
      <x:c r="D1018" s="40" t="n">
        <x:v>0.7752399053184625</x:v>
      </x:c>
      <x:c r="E1018" s="40" t="n">
        <x:v>0.12635687777202256</x:v>
      </x:c>
      <x:c r="F1018" s="40" t="n">
        <x:v>0.14254454533847416</x:v>
      </x:c>
      <x:c r="G1018" s="40" t="n">
        <x:v>0.07992415313585893</x:v>
      </x:c>
      <x:c r="H1018" s="40" t="n">
        <x:v>0.10687298518253535</x:v>
      </x:c>
    </x:row>
    <x:row r="1019">
      <x:c r="A1019" t="n">
        <x:v>970</x:v>
      </x:c>
      <x:c r="B1019" s="40" t="n">
        <x:v>0.06819683603256915</x:v>
      </x:c>
      <x:c r="C1019" s="40" t="n">
        <x:v>0.0619602647377927</x:v>
      </x:c>
      <x:c r="D1019" s="40" t="n">
        <x:v>0.7866814334153769</x:v>
      </x:c>
      <x:c r="E1019" s="40" t="n">
        <x:v>0.1116823179599876</x:v>
      </x:c>
      <x:c r="F1019" s="40" t="n">
        <x:v>0.05356314391632976</x:v>
      </x:c>
      <x:c r="G1019" s="40" t="n">
        <x:v>0.034045239881668396</x:v>
      </x:c>
      <x:c r="H1019" s="40" t="n">
        <x:v>0.35129790643097786</x:v>
      </x:c>
    </x:row>
    <x:row r="1020">
      <x:c r="A1020" t="n">
        <x:v>971</x:v>
      </x:c>
      <x:c r="B1020" s="40" t="n">
        <x:v>0.07301719921999825</x:v>
      </x:c>
      <x:c r="C1020" s="40" t="n">
        <x:v>0.06530401715029277</x:v>
      </x:c>
      <x:c r="D1020" s="40" t="n">
        <x:v>0.8202152854223296</x:v>
      </x:c>
      <x:c r="E1020" s="40" t="n">
        <x:v>0.07916941962612528</x:v>
      </x:c>
      <x:c r="F1020" s="40" t="n">
        <x:v>0.01902939788588955</x:v>
      </x:c>
      <x:c r="G1020" s="40" t="n">
        <x:v>0.026532291180096965</x:v>
      </x:c>
      <x:c r="H1020" s="40" t="n">
        <x:v>0.5748113341471811</x:v>
      </x:c>
    </x:row>
    <x:row r="1021">
      <x:c r="A1021" t="n">
        <x:v>972</x:v>
      </x:c>
      <x:c r="B1021" s="40" t="n">
        <x:v>0.08996151183684495</x:v>
      </x:c>
      <x:c r="C1021" s="40" t="n">
        <x:v>0.09579005041977474</x:v>
      </x:c>
      <x:c r="D1021" s="40" t="n">
        <x:v>0.7360646056037914</x:v>
      </x:c>
      <x:c r="E1021" s="40" t="n">
        <x:v>0.01092561670225252</x:v>
      </x:c>
      <x:c r="F1021" s="40" t="n">
        <x:v>0.07731901320293501</x:v>
      </x:c>
      <x:c r="G1021" s="40" t="n">
        <x:v>0.14301529269099514</x:v>
      </x:c>
      <x:c r="H1021" s="40" t="n">
        <x:v>0.30167754552167947</x:v>
      </x:c>
    </x:row>
    <x:row r="1022">
      <x:c r="A1022" t="n">
        <x:v>973</x:v>
      </x:c>
      <x:c r="B1022" s="40" t="n">
        <x:v>0.10112577438554143</x:v>
      </x:c>
      <x:c r="C1022" s="40" t="n">
        <x:v>0.11306324720297127</x:v>
      </x:c>
      <x:c r="D1022" s="40" t="n">
        <x:v>0.7223561170596643</x:v>
      </x:c>
      <x:c r="E1022" s="40" t="n">
        <x:v>0.2401051827150436</x:v>
      </x:c>
      <x:c r="F1022" s="40" t="n">
        <x:v>0.04815810762268044</x:v>
      </x:c>
      <x:c r="G1022" s="40" t="n">
        <x:v>0.0755554316936196</x:v>
      </x:c>
      <x:c r="H1022" s="40" t="n">
        <x:v>0.09205942321259113</x:v>
      </x:c>
    </x:row>
    <x:row r="1023">
      <x:c r="A1023" t="n">
        <x:v>974</x:v>
      </x:c>
      <x:c r="B1023" s="40" t="n">
        <x:v>0.06918732577405942</x:v>
      </x:c>
      <x:c r="C1023" s="40" t="n">
        <x:v>0.06822726364635953</x:v>
      </x:c>
      <x:c r="D1023" s="40" t="n">
        <x:v>0.7289385058441655</x:v>
      </x:c>
      <x:c r="E1023" s="40" t="n">
        <x:v>0.00869285929278654</x:v>
      </x:c>
      <x:c r="F1023" s="40" t="n">
        <x:v>0.0987742790622026</x:v>
      </x:c>
      <x:c r="G1023" s="40" t="n">
        <x:v>0.37299558714340914</x:v>
      </x:c>
      <x:c r="H1023" s="40" t="n">
        <x:v>0.3590157593096548</x:v>
      </x:c>
    </x:row>
    <x:row r="1024">
      <x:c r="A1024" t="n">
        <x:v>975</x:v>
      </x:c>
      <x:c r="B1024" s="40" t="n">
        <x:v>0.09818257898393484</x:v>
      </x:c>
      <x:c r="C1024" s="40" t="n">
        <x:v>0.1621517738904003</x:v>
      </x:c>
      <x:c r="D1024" s="40" t="n">
        <x:v>0.48552495567086473</x:v>
      </x:c>
      <x:c r="E1024" s="40" t="n">
        <x:v>0.619315277148757</x:v>
      </x:c>
      <x:c r="F1024" s="40" t="n">
        <x:v>0.22562909612062448</x:v>
      </x:c>
      <x:c r="G1024" s="40" t="n">
        <x:v>0.017696547641905116</x:v>
      </x:c>
      <x:c r="H1024" s="40" t="n">
        <x:v>0.06667037342283719</x:v>
      </x:c>
    </x:row>
    <x:row r="1025">
      <x:c r="A1025" t="n">
        <x:v>976</x:v>
      </x:c>
      <x:c r="B1025" s="40" t="n">
        <x:v>0.07960034967857285</x:v>
      </x:c>
      <x:c r="C1025" s="40" t="n">
        <x:v>0.08833112106016935</x:v>
      </x:c>
      <x:c r="D1025" s="40" t="n">
        <x:v>0.6809208668794787</x:v>
      </x:c>
      <x:c r="E1025" s="40" t="n">
        <x:v>0.055590061195775586</x:v>
      </x:c>
      <x:c r="F1025" s="40" t="n">
        <x:v>0.22961822256634604</x:v>
      </x:c>
      <x:c r="G1025" s="40" t="n">
        <x:v>0.17392077122119587</x:v>
      </x:c>
      <x:c r="H1025" s="40" t="n">
        <x:v>0.27931424869318155</x:v>
      </x:c>
    </x:row>
    <x:row r="1026">
      <x:c r="A1026" t="n">
        <x:v>977</x:v>
      </x:c>
      <x:c r="B1026" s="40" t="n">
        <x:v>0.054210159810290766</x:v>
      </x:c>
      <x:c r="C1026" s="40" t="n">
        <x:v>0.043650721828471156</x:v>
      </x:c>
      <x:c r="D1026" s="40" t="n">
        <x:v>0.7962368593358479</x:v>
      </x:c>
      <x:c r="E1026" s="40" t="n">
        <x:v>0.024212622165845982</x:v>
      </x:c>
      <x:c r="F1026" s="40" t="n">
        <x:v>0.012312339142696862</x:v>
      </x:c>
      <x:c r="G1026" s="40" t="n">
        <x:v>0.24611590159702226</x:v>
      </x:c>
      <x:c r="H1026" s="40" t="n">
        <x:v>0.0038725770319629122</x:v>
      </x:c>
    </x:row>
    <x:row r="1027">
      <x:c r="A1027" t="n">
        <x:v>978</x:v>
      </x:c>
      <x:c r="B1027" s="40" t="n">
        <x:v>0.06375895241077602</x:v>
      </x:c>
      <x:c r="C1027" s="40" t="n">
        <x:v>0.06516152259541784</x:v>
      </x:c>
      <x:c r="D1027" s="40" t="n">
        <x:v>0.6799274248396</x:v>
      </x:c>
      <x:c r="E1027" s="40" t="n">
        <x:v>0.041781431096999375</x:v>
      </x:c>
      <x:c r="F1027" s="40" t="n">
        <x:v>0.03895091001692966</x:v>
      </x:c>
      <x:c r="G1027" s="40" t="n">
        <x:v>0.31223365486482</x:v>
      </x:c>
      <x:c r="H1027" s="40" t="n">
        <x:v>0.566574764703076</x:v>
      </x:c>
    </x:row>
    <x:row r="1028">
      <x:c r="A1028" t="n">
        <x:v>979</x:v>
      </x:c>
      <x:c r="B1028" s="40" t="n">
        <x:v>0.08653804933273554</x:v>
      </x:c>
      <x:c r="C1028" s="40" t="n">
        <x:v>0.09368992252729581</x:v>
      </x:c>
      <x:c r="D1028" s="40" t="n">
        <x:v>0.7160236807682805</x:v>
      </x:c>
      <x:c r="E1028" s="40" t="n">
        <x:v>0.2951505194489626</x:v>
      </x:c>
      <x:c r="F1028" s="40" t="n">
        <x:v>0.09542559234007487</x:v>
      </x:c>
      <x:c r="G1028" s="40" t="n">
        <x:v>0.12654624791037072</x:v>
      </x:c>
      <x:c r="H1028" s="40" t="n">
        <x:v>0.18987891635418055</x:v>
      </x:c>
    </x:row>
    <x:row r="1029">
      <x:c r="A1029" t="n">
        <x:v>980</x:v>
      </x:c>
      <x:c r="B1029" s="40" t="n">
        <x:v>0.06582101480622754</x:v>
      </x:c>
      <x:c r="C1029" s="40" t="n">
        <x:v>0.05998223781141349</x:v>
      </x:c>
      <x:c r="D1029" s="40" t="n">
        <x:v>0.7730149848387048</x:v>
      </x:c>
      <x:c r="E1029" s="40" t="n">
        <x:v>0.005764969170113187</x:v>
      </x:c>
      <x:c r="F1029" s="40" t="n">
        <x:v>0.14814428582616085</x:v>
      </x:c>
      <x:c r="G1029" s="40" t="n">
        <x:v>0.29895726251718047</x:v>
      </x:c>
      <x:c r="H1029" s="40" t="n">
        <x:v>0.19042671334937783</x:v>
      </x:c>
    </x:row>
    <x:row r="1030">
      <x:c r="A1030" t="n">
        <x:v>981</x:v>
      </x:c>
      <x:c r="B1030" s="40" t="n">
        <x:v>0.0727595950375597</x:v>
      </x:c>
      <x:c r="C1030" s="40" t="n">
        <x:v>0.08110347023441675</x:v>
      </x:c>
      <x:c r="D1030" s="40" t="n">
        <x:v>0.6572560795443366</x:v>
      </x:c>
      <x:c r="E1030" s="40" t="n">
        <x:v>0.18051094431492978</x:v>
      </x:c>
      <x:c r="F1030" s="40" t="n">
        <x:v>0.11810702182342998</x:v>
      </x:c>
      <x:c r="G1030" s="40" t="n">
        <x:v>0.024496876291803873</x:v>
      </x:c>
      <x:c r="H1030" s="40" t="n">
        <x:v>0.23554291841624603</x:v>
      </x:c>
    </x:row>
    <x:row r="1031">
      <x:c r="A1031" t="n">
        <x:v>982</x:v>
      </x:c>
      <x:c r="B1031" s="40" t="n">
        <x:v>0.09794540381065969</x:v>
      </x:c>
      <x:c r="C1031" s="40" t="n">
        <x:v>0.10821356580542238</x:v>
      </x:c>
      <x:c r="D1031" s="40" t="n">
        <x:v>0.7253393516109463</x:v>
      </x:c>
      <x:c r="E1031" s="40" t="n">
        <x:v>0.19331627042386873</x:v>
      </x:c>
      <x:c r="F1031" s="40" t="n">
        <x:v>0.019775786741172415</x:v>
      </x:c>
      <x:c r="G1031" s="40" t="n">
        <x:v>0.11142266600467214</x:v>
      </x:c>
      <x:c r="H1031" s="40" t="n">
        <x:v>0.09261334741839053</x:v>
      </x:c>
    </x:row>
    <x:row r="1032">
      <x:c r="A1032" t="n">
        <x:v>983</x:v>
      </x:c>
      <x:c r="B1032" s="40" t="n">
        <x:v>0.05994935723417702</x:v>
      </x:c>
      <x:c r="C1032" s="40" t="n">
        <x:v>0.04639396317109479</x:v>
      </x:c>
      <x:c r="D1032" s="40" t="n">
        <x:v>0.8728616464816508</x:v>
      </x:c>
      <x:c r="E1032" s="40" t="n">
        <x:v>0.015123186753291077</x:v>
      </x:c>
      <x:c r="F1032" s="40" t="n">
        <x:v>0.044749667268414214</x:v>
      </x:c>
      <x:c r="G1032" s="40" t="n">
        <x:v>0.23609409865042405</x:v>
      </x:c>
      <x:c r="H1032" s="40" t="n">
        <x:v>0.2695338903463428</x:v>
      </x:c>
    </x:row>
    <x:row r="1033">
      <x:c r="A1033" t="n">
        <x:v>984</x:v>
      </x:c>
      <x:c r="B1033" s="40" t="n">
        <x:v>0.09553524581517801</x:v>
      </x:c>
      <x:c r="C1033" s="40" t="n">
        <x:v>0.11279234911214851</x:v>
      </x:c>
      <x:c r="D1033" s="40" t="n">
        <x:v>0.6745262445565766</x:v>
      </x:c>
      <x:c r="E1033" s="40" t="n">
        <x:v>0.07319730559979593</x:v>
      </x:c>
      <x:c r="F1033" s="40" t="n">
        <x:v>0.2579845445876773</x:v>
      </x:c>
      <x:c r="G1033" s="40" t="n">
        <x:v>0.052183374155604076</x:v>
      </x:c>
      <x:c r="H1033" s="40" t="n">
        <x:v>0.3287685631086246</x:v>
      </x:c>
    </x:row>
    <x:row r="1034">
      <x:c r="A1034" t="n">
        <x:v>985</x:v>
      </x:c>
      <x:c r="B1034" s="40" t="n">
        <x:v>0.08815539215633567</x:v>
      </x:c>
      <x:c r="C1034" s="40" t="n">
        <x:v>0.09918616148697129</x:v>
      </x:c>
      <x:c r="D1034" s="40" t="n">
        <x:v>0.6926525331007378</x:v>
      </x:c>
      <x:c r="E1034" s="40" t="n">
        <x:v>0.43771575535188983</x:v>
      </x:c>
      <x:c r="F1034" s="40" t="n">
        <x:v>0.004077537611052615</x:v>
      </x:c>
      <x:c r="G1034" s="40" t="n">
        <x:v>0.033310937330389784</x:v>
      </x:c>
      <x:c r="H1034" s="40" t="n">
        <x:v>0.03148172320036191</x:v>
      </x:c>
    </x:row>
    <x:row r="1035">
      <x:c r="A1035" t="n">
        <x:v>986</x:v>
      </x:c>
      <x:c r="B1035" s="40" t="n">
        <x:v>0.07772998953922108</x:v>
      </x:c>
      <x:c r="C1035" s="40" t="n">
        <x:v>0.07585469521467396</x:v>
      </x:c>
      <x:c r="D1035" s="40" t="n">
        <x:v>0.7682602009071353</x:v>
      </x:c>
      <x:c r="E1035" s="40" t="n">
        <x:v>0.17122779775988406</x:v>
      </x:c>
      <x:c r="F1035" s="40" t="n">
        <x:v>0.06456869830728094</x:v>
      </x:c>
      <x:c r="G1035" s="40" t="n">
        <x:v>0.24443364291013153</x:v>
      </x:c>
      <x:c r="H1035" s="40" t="n">
        <x:v>0.3262694335749605</x:v>
      </x:c>
    </x:row>
    <x:row r="1036">
      <x:c r="A1036" t="n">
        <x:v>987</x:v>
      </x:c>
      <x:c r="B1036" s="40" t="n">
        <x:v>0.08673890626723757</x:v>
      </x:c>
      <x:c r="C1036" s="40" t="n">
        <x:v>0.08667279227055433</x:v>
      </x:c>
      <x:c r="D1036" s="40" t="n">
        <x:v>0.7763112085203977</x:v>
      </x:c>
      <x:c r="E1036" s="40" t="n">
        <x:v>0.20924010976111707</x:v>
      </x:c>
      <x:c r="F1036" s="40" t="n">
        <x:v>0.09048803138605745</x:v>
      </x:c>
      <x:c r="G1036" s="40" t="n">
        <x:v>0.14018277954855776</x:v>
      </x:c>
      <x:c r="H1036" s="40" t="n">
        <x:v>0.12196568966347507</x:v>
      </x:c>
    </x:row>
    <x:row r="1037">
      <x:c r="A1037" t="n">
        <x:v>988</x:v>
      </x:c>
      <x:c r="B1037" s="40" t="n">
        <x:v>0.09409926751047691</x:v>
      </x:c>
      <x:c r="C1037" s="40" t="n">
        <x:v>0.13224121540160566</x:v>
      </x:c>
      <x:c r="D1037" s="40" t="n">
        <x:v>0.5644641205840311</x:v>
      </x:c>
      <x:c r="E1037" s="40" t="n">
        <x:v>0.2369743963010015</x:v>
      </x:c>
      <x:c r="F1037" s="40" t="n">
        <x:v>0.3127391720430358</x:v>
      </x:c>
      <x:c r="G1037" s="40" t="n">
        <x:v>0.016063928156422526</x:v>
      </x:c>
      <x:c r="H1037" s="40" t="n">
        <x:v>0.1950529818178105</x:v>
      </x:c>
    </x:row>
    <x:row r="1038">
      <x:c r="A1038" t="n">
        <x:v>989</x:v>
      </x:c>
      <x:c r="B1038" s="40" t="n">
        <x:v>0.08594192072073804</x:v>
      </x:c>
      <x:c r="C1038" s="40" t="n">
        <x:v>0.08850462105524787</x:v>
      </x:c>
      <x:c r="D1038" s="40" t="n">
        <x:v>0.7512384525706015</x:v>
      </x:c>
      <x:c r="E1038" s="40" t="n">
        <x:v>0.2059896638516658</x:v>
      </x:c>
      <x:c r="F1038" s="40" t="n">
        <x:v>0.0770307776810943</x:v>
      </x:c>
      <x:c r="G1038" s="40" t="n">
        <x:v>0.025594190732208102</x:v>
      </x:c>
      <x:c r="H1038" s="40" t="n">
        <x:v>0.3664000386531764</x:v>
      </x:c>
    </x:row>
    <x:row r="1039">
      <x:c r="A1039" t="n">
        <x:v>990</x:v>
      </x:c>
      <x:c r="B1039" s="40" t="n">
        <x:v>0.06041612757197065</x:v>
      </x:c>
      <x:c r="C1039" s="40" t="n">
        <x:v>0.052633623781923954</x:v>
      </x:c>
      <x:c r="D1039" s="40" t="n">
        <x:v>0.778253110366158</x:v>
      </x:c>
      <x:c r="E1039" s="40" t="n">
        <x:v>0.14804289635432663</x:v>
      </x:c>
      <x:c r="F1039" s="40" t="n">
        <x:v>0.027516182949494886</x:v>
      </x:c>
      <x:c r="G1039" s="40" t="n">
        <x:v>0.5040283073990371</x:v>
      </x:c>
      <x:c r="H1039" s="40" t="n">
        <x:v>0.06902015533966804</x:v>
      </x:c>
    </x:row>
    <x:row r="1040">
      <x:c r="A1040" t="n">
        <x:v>991</x:v>
      </x:c>
      <x:c r="B1040" s="40" t="n">
        <x:v>0.06625475504851053</x:v>
      </x:c>
      <x:c r="C1040" s="40" t="n">
        <x:v>0.06132246709871162</x:v>
      </x:c>
      <x:c r="D1040" s="40" t="n">
        <x:v>0.7631935098000592</x:v>
      </x:c>
      <x:c r="E1040" s="40" t="n">
        <x:v>0.15933669443892381</x:v>
      </x:c>
      <x:c r="F1040" s="40" t="n">
        <x:v>0.05917716228871171</x:v>
      </x:c>
      <x:c r="G1040" s="40" t="n">
        <x:v>0.34173030385273434</x:v>
      </x:c>
      <x:c r="H1040" s="40" t="n">
        <x:v>0.27990194614738484</x:v>
      </x:c>
    </x:row>
    <x:row r="1041">
      <x:c r="A1041" t="n">
        <x:v>992</x:v>
      </x:c>
      <x:c r="B1041" s="40" t="n">
        <x:v>0.07127534244442792</x:v>
      </x:c>
      <x:c r="C1041" s="40" t="n">
        <x:v>0.06992237289246152</x:v>
      </x:c>
      <x:c r="D1041" s="40" t="n">
        <x:v>0.7411289712704923</x:v>
      </x:c>
      <x:c r="E1041" s="40" t="n">
        <x:v>0.02828452041309496</x:v>
      </x:c>
      <x:c r="F1041" s="40" t="n">
        <x:v>0.17088593314823505</x:v>
      </x:c>
      <x:c r="G1041" s="40" t="n">
        <x:v>0.2880180970739652</x:v>
      </x:c>
      <x:c r="H1041" s="40" t="n">
        <x:v>0.2574076437405365</x:v>
      </x:c>
    </x:row>
    <x:row r="1042">
      <x:c r="A1042" t="n">
        <x:v>993</x:v>
      </x:c>
      <x:c r="B1042" s="40" t="n">
        <x:v>0.08720611709494236</x:v>
      </x:c>
      <x:c r="C1042" s="40" t="n">
        <x:v>0.10699020703746644</x:v>
      </x:c>
      <x:c r="D1042" s="40" t="n">
        <x:v>0.6332567514087558</x:v>
      </x:c>
      <x:c r="E1042" s="40" t="n">
        <x:v>0.0031415266313151984</x:v>
      </x:c>
      <x:c r="F1042" s="40" t="n">
        <x:v>0.3064606333843366</x:v>
      </x:c>
      <x:c r="G1042" s="40" t="n">
        <x:v>0.009720809411742935</x:v>
      </x:c>
      <x:c r="H1042" s="40" t="n">
        <x:v>0.23743191243983738</x:v>
      </x:c>
    </x:row>
    <x:row r="1043">
      <x:c r="A1043" t="n">
        <x:v>994</x:v>
      </x:c>
      <x:c r="B1043" s="40" t="n">
        <x:v>0.06480428758539003</x:v>
      </x:c>
      <x:c r="C1043" s="40" t="n">
        <x:v>0.06659318801213865</x:v>
      </x:c>
      <x:c r="D1043" s="40" t="n">
        <x:v>0.681007213880155</x:v>
      </x:c>
      <x:c r="E1043" s="40" t="n">
        <x:v>0.02583734649228498</x:v>
      </x:c>
      <x:c r="F1043" s="40" t="n">
        <x:v>0.17528064498158696</x:v>
      </x:c>
      <x:c r="G1043" s="40" t="n">
        <x:v>0.5081112049065779</x:v>
      </x:c>
      <x:c r="H1043" s="40" t="n">
        <x:v>0.1583926883639918</x:v>
      </x:c>
    </x:row>
    <x:row r="1044">
      <x:c r="A1044" t="n">
        <x:v>995</x:v>
      </x:c>
      <x:c r="B1044" s="40" t="n">
        <x:v>0.06890844316988957</x:v>
      </x:c>
      <x:c r="C1044" s="40" t="n">
        <x:v>0.06474049703144875</x:v>
      </x:c>
      <x:c r="D1044" s="40" t="n">
        <x:v>0.763889671591802</x:v>
      </x:c>
      <x:c r="E1044" s="40" t="n">
        <x:v>0.06911794195917421</x:v>
      </x:c>
      <x:c r="F1044" s="40" t="n">
        <x:v>0.11108359444993698</x:v>
      </x:c>
      <x:c r="G1044" s="40" t="n">
        <x:v>0.11032346651952557</x:v>
      </x:c>
      <x:c r="H1044" s="40" t="n">
        <x:v>0.30222609159034397</x:v>
      </x:c>
    </x:row>
    <x:row r="1045">
      <x:c r="A1045" t="n">
        <x:v>996</x:v>
      </x:c>
      <x:c r="B1045" s="40" t="n">
        <x:v>0.06222947025237088</x:v>
      </x:c>
      <x:c r="C1045" s="40" t="n">
        <x:v>0.06729248977062076</x:v>
      </x:c>
      <x:c r="D1045" s="40" t="n">
        <x:v>0.6356671337965585</x:v>
      </x:c>
      <x:c r="E1045" s="40" t="n">
        <x:v>0.14688922107321586</x:v>
      </x:c>
      <x:c r="F1045" s="40" t="n">
        <x:v>0.06923348315505251</x:v>
      </x:c>
      <x:c r="G1045" s="40" t="n">
        <x:v>0.07965435096881447</x:v>
      </x:c>
      <x:c r="H1045" s="40" t="n">
        <x:v>0.07841789841939772</x:v>
      </x:c>
    </x:row>
    <x:row r="1046">
      <x:c r="A1046" t="n">
        <x:v>997</x:v>
      </x:c>
      <x:c r="B1046" s="40" t="n">
        <x:v>0.08212670399456859</x:v>
      </x:c>
      <x:c r="C1046" s="40" t="n">
        <x:v>0.0764210285044446</x:v>
      </x:c>
      <x:c r="D1046" s="40" t="n">
        <x:v>0.8200996383747625</x:v>
      </x:c>
      <x:c r="E1046" s="40" t="n">
        <x:v>0.050813838394455434</x:v>
      </x:c>
      <x:c r="F1046" s="40" t="n">
        <x:v>0.125827777272826</x:v>
      </x:c>
      <x:c r="G1046" s="40" t="n">
        <x:v>0.07547541773700392</x:v>
      </x:c>
      <x:c r="H1046" s="40" t="n">
        <x:v>0.16654900944768394</x:v>
      </x:c>
    </x:row>
    <x:row r="1047">
      <x:c r="A1047" t="n">
        <x:v>998</x:v>
      </x:c>
      <x:c r="B1047" s="40" t="n">
        <x:v>0.06641312826120677</x:v>
      </x:c>
      <x:c r="C1047" s="40" t="n">
        <x:v>0.07484752588624033</x:v>
      </x:c>
      <x:c r="D1047" s="40" t="n">
        <x:v>0.6273992567066725</x:v>
      </x:c>
      <x:c r="E1047" s="40" t="n">
        <x:v>0.08353620237122361</x:v>
      </x:c>
      <x:c r="F1047" s="40" t="n">
        <x:v>0.23243873534997112</x:v>
      </x:c>
      <x:c r="G1047" s="40" t="n">
        <x:v>0.51360339135839</x:v>
      </x:c>
      <x:c r="H1047" s="40" t="n">
        <x:v>0.036042595287648034</x:v>
      </x:c>
    </x:row>
    <x:row r="1048">
      <x:c r="A1048" t="n">
        <x:v>999</x:v>
      </x:c>
      <x:c r="B1048" s="40" t="n">
        <x:v>0.09570698374881013</x:v>
      </x:c>
      <x:c r="C1048" s="40" t="n">
        <x:v>0.15886823605898662</x:v>
      </x:c>
      <x:c r="D1048" s="40" t="n">
        <x:v>0.4799772408038303</x:v>
      </x:c>
      <x:c r="E1048" s="40" t="n">
        <x:v>0.23320223614075053</x:v>
      </x:c>
      <x:c r="F1048" s="40" t="n">
        <x:v>0.4658623749192999</x:v>
      </x:c>
      <x:c r="G1048" s="40" t="n">
        <x:v>0.12855763903360734</x:v>
      </x:c>
      <x:c r="H1048" s="40" t="n">
        <x:v>0.0951963598744922</x:v>
      </x:c>
    </x:row>
    <x:row r="1049">
      <x:c r="A1049" t="n">
        <x:v>1000</x:v>
      </x:c>
      <x:c r="B1049" s="40" t="n">
        <x:v>0.06999350001145067</x:v>
      </x:c>
      <x:c r="C1049" s="40" t="n">
        <x:v>0.07511897949200068</x:v>
      </x:c>
      <x:c r="D1049" s="40" t="n">
        <x:v>0.6727947344250919</x:v>
      </x:c>
      <x:c r="E1049" s="40" t="n">
        <x:v>0.09261518473587423</x:v>
      </x:c>
      <x:c r="F1049" s="40" t="n">
        <x:v>0.19366550015238038</x:v>
      </x:c>
      <x:c r="G1049" s="40" t="n">
        <x:v>0.4434161878094186</x:v>
      </x:c>
      <x:c r="H1049" s="40" t="n">
        <x:v>0.17954791583291288</x:v>
      </x:c>
    </x:row>
    <x:row r="1050">
      <x:c r="B1050" s="40"/>
      <x:c r="C1050" s="40"/>
      <x:c r="D1050" s="40"/>
      <x:c r="E1050" s="40"/>
      <x:c r="F1050" s="40"/>
      <x:c r="G1050" s="40"/>
      <x:c r="H1050" s="40"/>
    </x:row>
    <x:row r="1051">
      <x:c r="B1051" s="40"/>
      <x:c r="C1051" s="40"/>
      <x:c r="D1051" s="40"/>
      <x:c r="E1051" s="40"/>
      <x:c r="F1051" s="40"/>
      <x:c r="G1051" s="40"/>
      <x:c r="H1051" s="40"/>
    </x:row>
    <x:row r="1052">
      <x:c r="B1052" s="40"/>
      <x:c r="C1052" s="40"/>
      <x:c r="D1052" s="40"/>
      <x:c r="E1052" s="40"/>
      <x:c r="F1052" s="40"/>
      <x:c r="G1052" s="40"/>
      <x:c r="H1052" s="40"/>
    </x:row>
    <x:row r="1053">
      <x:c r="B1053" s="40"/>
      <x:c r="C1053" s="40"/>
      <x:c r="D1053" s="40"/>
      <x:c r="E1053" s="40"/>
      <x:c r="F1053" s="40"/>
      <x:c r="G1053" s="40"/>
      <x:c r="H1053" s="40"/>
    </x:row>
    <x:row r="1054">
      <x:c r="B1054" s="40"/>
      <x:c r="C1054" s="40"/>
      <x:c r="D1054" s="40"/>
      <x:c r="E1054" s="40"/>
      <x:c r="F1054" s="40"/>
      <x:c r="G1054" s="40"/>
      <x:c r="H1054" s="40"/>
    </x:row>
    <x:row r="1055">
      <x:c r="B1055" s="40"/>
      <x:c r="C1055" s="40"/>
      <x:c r="D1055" s="40"/>
      <x:c r="E1055" s="40"/>
      <x:c r="F1055" s="40"/>
      <x:c r="G1055" s="40"/>
      <x:c r="H1055" s="40"/>
    </x:row>
    <x:row r="1056">
      <x:c r="B1056" s="40"/>
      <x:c r="C1056" s="40"/>
      <x:c r="D1056" s="40"/>
      <x:c r="E1056" s="40"/>
      <x:c r="F1056" s="40"/>
      <x:c r="G1056" s="40"/>
      <x:c r="H1056" s="40"/>
    </x:row>
    <x:row r="1057">
      <x:c r="B1057" s="40"/>
      <x:c r="C1057" s="40"/>
      <x:c r="D1057" s="40"/>
      <x:c r="E1057" s="40"/>
      <x:c r="F1057" s="40"/>
      <x:c r="G1057" s="40"/>
      <x:c r="H1057" s="40"/>
    </x:row>
    <x:row r="1058">
      <x:c r="B1058" s="40"/>
      <x:c r="C1058" s="40"/>
      <x:c r="D1058" s="40"/>
      <x:c r="E1058" s="40"/>
      <x:c r="F1058" s="40"/>
      <x:c r="G1058" s="40"/>
      <x:c r="H1058" s="40"/>
    </x:row>
    <x:row r="1059">
      <x:c r="B1059" s="40"/>
      <x:c r="C1059" s="40"/>
      <x:c r="D1059" s="40"/>
      <x:c r="E1059" s="40"/>
      <x:c r="F1059" s="40"/>
      <x:c r="G1059" s="40"/>
      <x:c r="H1059" s="40"/>
    </x:row>
    <x:row r="1060">
      <x:c r="B1060" s="40"/>
      <x:c r="C1060" s="40"/>
      <x:c r="D1060" s="40"/>
      <x:c r="E1060" s="40"/>
      <x:c r="F1060" s="40"/>
      <x:c r="G1060" s="40"/>
      <x:c r="H1060" s="40"/>
    </x:row>
    <x:row r="1061">
      <x:c r="B1061" s="40"/>
      <x:c r="C1061" s="40"/>
      <x:c r="D1061" s="40"/>
      <x:c r="E1061" s="40"/>
      <x:c r="F1061" s="40"/>
      <x:c r="G1061" s="40"/>
      <x:c r="H1061" s="40"/>
    </x:row>
    <x:row r="1062">
      <x:c r="B1062" s="40"/>
      <x:c r="C1062" s="40"/>
      <x:c r="D1062" s="40"/>
      <x:c r="E1062" s="40"/>
      <x:c r="F1062" s="40"/>
      <x:c r="G1062" s="40"/>
      <x:c r="H1062" s="40"/>
    </x:row>
    <x:row r="1063">
      <x:c r="B1063" s="40"/>
      <x:c r="C1063" s="40"/>
      <x:c r="D1063" s="40"/>
      <x:c r="E1063" s="40"/>
      <x:c r="F1063" s="40"/>
      <x:c r="G1063" s="40"/>
      <x:c r="H1063" s="40"/>
    </x:row>
    <x:row r="1064">
      <x:c r="B1064" s="40"/>
      <x:c r="C1064" s="40"/>
      <x:c r="D1064" s="40"/>
      <x:c r="E1064" s="40"/>
      <x:c r="F1064" s="40"/>
      <x:c r="G1064" s="40"/>
      <x:c r="H1064" s="40"/>
    </x:row>
    <x:row r="1065">
      <x:c r="B1065" s="40"/>
      <x:c r="C1065" s="40"/>
      <x:c r="D1065" s="40"/>
      <x:c r="E1065" s="40"/>
      <x:c r="F1065" s="40"/>
      <x:c r="G1065" s="40"/>
      <x:c r="H1065" s="40"/>
    </x:row>
    <x:row r="1066">
      <x:c r="B1066" s="40"/>
      <x:c r="C1066" s="40"/>
      <x:c r="D1066" s="40"/>
      <x:c r="E1066" s="40"/>
      <x:c r="F1066" s="40"/>
      <x:c r="G1066" s="40"/>
      <x:c r="H1066" s="40"/>
    </x:row>
    <x:row r="1067">
      <x:c r="B1067" s="40"/>
      <x:c r="C1067" s="40"/>
      <x:c r="D1067" s="40"/>
      <x:c r="E1067" s="40"/>
      <x:c r="F1067" s="40"/>
      <x:c r="G1067" s="40"/>
      <x:c r="H1067" s="40"/>
    </x:row>
    <x:row r="1068">
      <x:c r="B1068" s="40"/>
      <x:c r="C1068" s="40"/>
      <x:c r="D1068" s="40"/>
      <x:c r="E1068" s="40"/>
      <x:c r="F1068" s="40"/>
      <x:c r="G1068" s="40"/>
      <x:c r="H1068" s="40"/>
    </x:row>
    <x:row r="1069">
      <x:c r="B1069" s="40"/>
      <x:c r="C1069" s="40"/>
      <x:c r="D1069" s="40"/>
      <x:c r="E1069" s="40"/>
      <x:c r="F1069" s="40"/>
      <x:c r="G1069" s="40"/>
      <x:c r="H1069" s="40"/>
    </x:row>
    <x:row r="1070">
      <x:c r="B1070" s="40"/>
      <x:c r="C1070" s="40"/>
      <x:c r="D1070" s="40"/>
      <x:c r="E1070" s="40"/>
      <x:c r="F1070" s="40"/>
      <x:c r="G1070" s="40"/>
      <x:c r="H1070" s="40"/>
    </x:row>
    <x:row r="1071">
      <x:c r="B1071" s="40"/>
      <x:c r="C1071" s="40"/>
      <x:c r="D1071" s="40"/>
      <x:c r="E1071" s="40"/>
      <x:c r="F1071" s="40"/>
      <x:c r="G1071" s="40"/>
      <x:c r="H1071" s="40"/>
    </x:row>
    <x:row r="1072">
      <x:c r="B1072" s="40"/>
      <x:c r="C1072" s="40"/>
      <x:c r="D1072" s="40"/>
      <x:c r="E1072" s="40"/>
      <x:c r="F1072" s="40"/>
      <x:c r="G1072" s="40"/>
      <x:c r="H1072" s="40"/>
    </x:row>
    <x:row r="1073">
      <x:c r="B1073" s="40"/>
      <x:c r="C1073" s="40"/>
      <x:c r="D1073" s="40"/>
      <x:c r="E1073" s="40"/>
      <x:c r="F1073" s="40"/>
      <x:c r="G1073" s="40"/>
      <x:c r="H1073" s="40"/>
    </x:row>
    <x:row r="1074">
      <x:c r="B1074" s="40"/>
      <x:c r="C1074" s="40"/>
      <x:c r="D1074" s="40"/>
      <x:c r="E1074" s="40"/>
      <x:c r="F1074" s="40"/>
      <x:c r="G1074" s="40"/>
      <x:c r="H1074" s="40"/>
    </x:row>
    <x:row r="1075">
      <x:c r="B1075" s="40"/>
      <x:c r="C1075" s="40"/>
      <x:c r="D1075" s="40"/>
      <x:c r="E1075" s="40"/>
      <x:c r="F1075" s="40"/>
      <x:c r="G1075" s="40"/>
      <x:c r="H1075" s="40"/>
    </x:row>
    <x:row r="1076">
      <x:c r="B1076" s="40"/>
      <x:c r="C1076" s="40"/>
      <x:c r="D1076" s="40"/>
      <x:c r="E1076" s="40"/>
      <x:c r="F1076" s="40"/>
      <x:c r="G1076" s="40"/>
      <x:c r="H1076" s="40"/>
    </x:row>
    <x:row r="1077">
      <x:c r="B1077" s="40"/>
      <x:c r="C1077" s="40"/>
      <x:c r="D1077" s="40"/>
      <x:c r="E1077" s="40"/>
      <x:c r="F1077" s="40"/>
      <x:c r="G1077" s="40"/>
      <x:c r="H1077" s="40"/>
    </x:row>
    <x:row r="1078">
      <x:c r="B1078" s="40"/>
      <x:c r="C1078" s="40"/>
      <x:c r="D1078" s="40"/>
      <x:c r="E1078" s="40"/>
      <x:c r="F1078" s="40"/>
      <x:c r="G1078" s="40"/>
      <x:c r="H1078" s="40"/>
    </x:row>
    <x:row r="1079">
      <x:c r="B1079" s="40"/>
      <x:c r="C1079" s="40"/>
      <x:c r="D1079" s="40"/>
      <x:c r="E1079" s="40"/>
      <x:c r="F1079" s="40"/>
      <x:c r="G1079" s="40"/>
      <x:c r="H1079" s="40"/>
    </x:row>
    <x:row r="1080">
      <x:c r="B1080" s="40"/>
      <x:c r="C1080" s="40"/>
      <x:c r="D1080" s="40"/>
      <x:c r="E1080" s="40"/>
      <x:c r="F1080" s="40"/>
      <x:c r="G1080" s="40"/>
      <x:c r="H1080" s="40"/>
    </x:row>
    <x:row r="1081">
      <x:c r="B1081" s="40"/>
      <x:c r="C1081" s="40"/>
      <x:c r="D1081" s="40"/>
      <x:c r="E1081" s="40"/>
      <x:c r="F1081" s="40"/>
      <x:c r="G1081" s="40"/>
      <x:c r="H1081" s="40"/>
    </x:row>
    <x:row r="1082">
      <x:c r="B1082" s="40"/>
      <x:c r="C1082" s="40"/>
      <x:c r="D1082" s="40"/>
      <x:c r="E1082" s="40"/>
      <x:c r="F1082" s="40"/>
      <x:c r="G1082" s="40"/>
      <x:c r="H1082" s="40"/>
    </x:row>
    <x:row r="1083">
      <x:c r="B1083" s="40"/>
      <x:c r="C1083" s="40"/>
      <x:c r="D1083" s="40"/>
      <x:c r="E1083" s="40"/>
      <x:c r="F1083" s="40"/>
      <x:c r="G1083" s="40"/>
      <x:c r="H1083" s="40"/>
    </x:row>
    <x:row r="1084">
      <x:c r="B1084" s="40"/>
      <x:c r="C1084" s="40"/>
      <x:c r="D1084" s="40"/>
      <x:c r="E1084" s="40"/>
      <x:c r="F1084" s="40"/>
      <x:c r="G1084" s="40"/>
      <x:c r="H1084" s="40"/>
    </x:row>
    <x:row r="1085">
      <x:c r="B1085" s="40"/>
      <x:c r="C1085" s="40"/>
      <x:c r="D1085" s="40"/>
      <x:c r="E1085" s="40"/>
      <x:c r="F1085" s="40"/>
      <x:c r="G1085" s="40"/>
      <x:c r="H1085" s="40"/>
    </x:row>
    <x:row r="1086">
      <x:c r="B1086" s="40"/>
      <x:c r="C1086" s="40"/>
      <x:c r="D1086" s="40"/>
      <x:c r="E1086" s="40"/>
      <x:c r="F1086" s="40"/>
      <x:c r="G1086" s="40"/>
      <x:c r="H1086" s="40"/>
    </x:row>
    <x:row r="1087">
      <x:c r="B1087" s="40"/>
      <x:c r="C1087" s="40"/>
      <x:c r="D1087" s="40"/>
      <x:c r="E1087" s="40"/>
      <x:c r="F1087" s="40"/>
      <x:c r="G1087" s="40"/>
      <x:c r="H1087" s="40"/>
    </x:row>
    <x:row r="1088">
      <x:c r="B1088" s="40"/>
      <x:c r="C1088" s="40"/>
      <x:c r="D1088" s="40"/>
      <x:c r="E1088" s="40"/>
      <x:c r="F1088" s="40"/>
      <x:c r="G1088" s="40"/>
      <x:c r="H1088" s="40"/>
    </x:row>
    <x:row r="1089">
      <x:c r="B1089" s="40"/>
      <x:c r="C1089" s="40"/>
      <x:c r="D1089" s="40"/>
      <x:c r="E1089" s="40"/>
      <x:c r="F1089" s="40"/>
      <x:c r="G1089" s="40"/>
      <x:c r="H1089" s="40"/>
    </x:row>
    <x:row r="1090">
      <x:c r="B1090" s="40"/>
      <x:c r="C1090" s="40"/>
      <x:c r="D1090" s="40"/>
      <x:c r="E1090" s="40"/>
      <x:c r="F1090" s="40"/>
      <x:c r="G1090" s="40"/>
      <x:c r="H1090" s="40"/>
    </x:row>
    <x:row r="1091">
      <x:c r="B1091" s="40"/>
      <x:c r="C1091" s="40"/>
      <x:c r="D1091" s="40"/>
      <x:c r="E1091" s="40"/>
      <x:c r="F1091" s="40"/>
      <x:c r="G1091" s="40"/>
      <x:c r="H1091" s="40"/>
    </x:row>
    <x:row r="1092">
      <x:c r="B1092" s="40"/>
      <x:c r="C1092" s="40"/>
      <x:c r="D1092" s="40"/>
      <x:c r="E1092" s="40"/>
      <x:c r="F1092" s="40"/>
      <x:c r="G1092" s="40"/>
      <x:c r="H1092" s="40"/>
    </x:row>
    <x:row r="1093">
      <x:c r="B1093" s="40"/>
      <x:c r="C1093" s="40"/>
      <x:c r="D1093" s="40"/>
      <x:c r="E1093" s="40"/>
      <x:c r="F1093" s="40"/>
      <x:c r="G1093" s="40"/>
      <x:c r="H1093" s="40"/>
    </x:row>
    <x:row r="1094">
      <x:c r="B1094" s="40"/>
      <x:c r="C1094" s="40"/>
      <x:c r="D1094" s="40"/>
      <x:c r="E1094" s="40"/>
      <x:c r="F1094" s="40"/>
      <x:c r="G1094" s="40"/>
      <x:c r="H1094" s="40"/>
    </x:row>
    <x:row r="1095">
      <x:c r="B1095" s="40"/>
      <x:c r="C1095" s="40"/>
      <x:c r="D1095" s="40"/>
      <x:c r="E1095" s="40"/>
      <x:c r="F1095" s="40"/>
      <x:c r="G1095" s="40"/>
      <x:c r="H1095" s="40"/>
    </x:row>
    <x:row r="1096">
      <x:c r="B1096" s="40"/>
      <x:c r="C1096" s="40"/>
      <x:c r="D1096" s="40"/>
      <x:c r="E1096" s="40"/>
      <x:c r="F1096" s="40"/>
      <x:c r="G1096" s="40"/>
      <x:c r="H1096" s="40"/>
    </x:row>
    <x:row r="1097">
      <x:c r="B1097" s="40"/>
      <x:c r="C1097" s="40"/>
      <x:c r="D1097" s="40"/>
      <x:c r="E1097" s="40"/>
      <x:c r="F1097" s="40"/>
      <x:c r="G1097" s="40"/>
      <x:c r="H1097" s="40"/>
    </x:row>
    <x:row r="1098">
      <x:c r="B1098" s="40"/>
      <x:c r="C1098" s="40"/>
      <x:c r="D1098" s="40"/>
      <x:c r="E1098" s="40"/>
      <x:c r="F1098" s="40"/>
      <x:c r="G1098" s="40"/>
      <x:c r="H1098" s="40"/>
    </x:row>
    <x:row r="1099">
      <x:c r="B1099" s="40"/>
      <x:c r="C1099" s="40"/>
      <x:c r="D1099" s="40"/>
      <x:c r="E1099" s="40"/>
      <x:c r="F1099" s="40"/>
      <x:c r="G1099" s="40"/>
      <x:c r="H1099" s="40"/>
    </x:row>
    <x:row r="1100">
      <x:c r="B1100" s="40"/>
      <x:c r="C1100" s="40"/>
      <x:c r="D1100" s="40"/>
      <x:c r="E1100" s="40"/>
      <x:c r="F1100" s="40"/>
      <x:c r="G1100" s="40"/>
      <x:c r="H1100" s="40"/>
    </x:row>
    <x:row r="1101">
      <x:c r="B1101" s="40"/>
      <x:c r="C1101" s="40"/>
      <x:c r="D1101" s="40"/>
      <x:c r="E1101" s="40"/>
      <x:c r="F1101" s="40"/>
      <x:c r="G1101" s="40"/>
      <x:c r="H1101" s="40"/>
    </x:row>
    <x:row r="1102">
      <x:c r="B1102" s="40"/>
      <x:c r="C1102" s="40"/>
      <x:c r="D1102" s="40"/>
      <x:c r="E1102" s="40"/>
      <x:c r="F1102" s="40"/>
      <x:c r="G1102" s="40"/>
      <x:c r="H1102" s="40"/>
    </x:row>
    <x:row r="1103">
      <x:c r="B1103" s="40"/>
      <x:c r="C1103" s="40"/>
      <x:c r="D1103" s="40"/>
      <x:c r="E1103" s="40"/>
      <x:c r="F1103" s="40"/>
      <x:c r="G1103" s="40"/>
      <x:c r="H1103" s="40"/>
    </x:row>
    <x:row r="1104">
      <x:c r="B1104" s="40"/>
      <x:c r="C1104" s="40"/>
      <x:c r="D1104" s="40"/>
      <x:c r="E1104" s="40"/>
      <x:c r="F1104" s="40"/>
      <x:c r="G1104" s="40"/>
      <x:c r="H1104" s="40"/>
    </x:row>
    <x:row r="1105">
      <x:c r="B1105" s="40"/>
      <x:c r="C1105" s="40"/>
      <x:c r="D1105" s="40"/>
      <x:c r="E1105" s="40"/>
      <x:c r="F1105" s="40"/>
      <x:c r="G1105" s="40"/>
      <x:c r="H1105" s="40"/>
    </x:row>
    <x:row r="1106">
      <x:c r="B1106" s="40"/>
      <x:c r="C1106" s="40"/>
      <x:c r="D1106" s="40"/>
      <x:c r="E1106" s="40"/>
      <x:c r="F1106" s="40"/>
      <x:c r="G1106" s="40"/>
      <x:c r="H1106" s="40"/>
    </x:row>
    <x:row r="1107">
      <x:c r="B1107" s="40"/>
      <x:c r="C1107" s="40"/>
      <x:c r="D1107" s="40"/>
      <x:c r="E1107" s="40"/>
      <x:c r="F1107" s="40"/>
      <x:c r="G1107" s="40"/>
      <x:c r="H1107" s="40"/>
    </x:row>
    <x:row r="1108">
      <x:c r="B1108" s="40"/>
      <x:c r="C1108" s="40"/>
      <x:c r="D1108" s="40"/>
      <x:c r="E1108" s="40"/>
      <x:c r="F1108" s="40"/>
      <x:c r="G1108" s="40"/>
      <x:c r="H1108" s="40"/>
    </x:row>
    <x:row r="1109">
      <x:c r="B1109" s="40"/>
      <x:c r="C1109" s="40"/>
      <x:c r="D1109" s="40"/>
      <x:c r="E1109" s="40"/>
      <x:c r="F1109" s="40"/>
      <x:c r="G1109" s="40"/>
      <x:c r="H1109" s="40"/>
    </x:row>
    <x:row r="1110">
      <x:c r="B1110" s="40"/>
      <x:c r="C1110" s="40"/>
      <x:c r="D1110" s="40"/>
      <x:c r="E1110" s="40"/>
      <x:c r="F1110" s="40"/>
      <x:c r="G1110" s="40"/>
      <x:c r="H1110" s="40"/>
    </x:row>
    <x:row r="1111">
      <x:c r="B1111" s="40"/>
      <x:c r="C1111" s="40"/>
      <x:c r="D1111" s="40"/>
      <x:c r="E1111" s="40"/>
      <x:c r="F1111" s="40"/>
      <x:c r="G1111" s="40"/>
      <x:c r="H1111" s="40"/>
    </x:row>
    <x:row r="1112">
      <x:c r="B1112" s="40"/>
      <x:c r="C1112" s="40"/>
      <x:c r="D1112" s="40"/>
      <x:c r="E1112" s="40"/>
      <x:c r="F1112" s="40"/>
      <x:c r="G1112" s="40"/>
      <x:c r="H1112" s="40"/>
    </x:row>
    <x:row r="1113">
      <x:c r="B1113" s="40"/>
      <x:c r="C1113" s="40"/>
      <x:c r="D1113" s="40"/>
      <x:c r="E1113" s="40"/>
      <x:c r="F1113" s="40"/>
      <x:c r="G1113" s="40"/>
      <x:c r="H1113" s="40"/>
    </x:row>
    <x:row r="1114">
      <x:c r="B1114" s="40"/>
      <x:c r="C1114" s="40"/>
      <x:c r="D1114" s="40"/>
      <x:c r="E1114" s="40"/>
      <x:c r="F1114" s="40"/>
      <x:c r="G1114" s="40"/>
      <x:c r="H1114" s="40"/>
    </x:row>
    <x:row r="1115">
      <x:c r="B1115" s="40"/>
      <x:c r="C1115" s="40"/>
      <x:c r="D1115" s="40"/>
      <x:c r="E1115" s="40"/>
      <x:c r="F1115" s="40"/>
      <x:c r="G1115" s="40"/>
      <x:c r="H1115" s="40"/>
    </x:row>
    <x:row r="1116">
      <x:c r="B1116" s="40"/>
      <x:c r="C1116" s="40"/>
      <x:c r="D1116" s="40"/>
      <x:c r="E1116" s="40"/>
      <x:c r="F1116" s="40"/>
      <x:c r="G1116" s="40"/>
      <x:c r="H1116" s="40"/>
    </x:row>
    <x:row r="1117">
      <x:c r="B1117" s="40"/>
      <x:c r="C1117" s="40"/>
      <x:c r="D1117" s="40"/>
      <x:c r="E1117" s="40"/>
      <x:c r="F1117" s="40"/>
      <x:c r="G1117" s="40"/>
      <x:c r="H1117" s="40"/>
    </x:row>
    <x:row r="1118">
      <x:c r="B1118" s="40"/>
      <x:c r="C1118" s="40"/>
      <x:c r="D1118" s="40"/>
      <x:c r="E1118" s="40"/>
      <x:c r="F1118" s="40"/>
      <x:c r="G1118" s="40"/>
      <x:c r="H1118" s="40"/>
    </x:row>
    <x:row r="1119">
      <x:c r="B1119" s="40"/>
      <x:c r="C1119" s="40"/>
      <x:c r="D1119" s="40"/>
      <x:c r="E1119" s="40"/>
      <x:c r="F1119" s="40"/>
      <x:c r="G1119" s="40"/>
      <x:c r="H1119" s="40"/>
    </x:row>
    <x:row r="1120">
      <x:c r="B1120" s="40"/>
      <x:c r="C1120" s="40"/>
      <x:c r="D1120" s="40"/>
      <x:c r="E1120" s="40"/>
      <x:c r="F1120" s="40"/>
      <x:c r="G1120" s="40"/>
      <x:c r="H1120" s="40"/>
    </x:row>
    <x:row r="1121">
      <x:c r="B1121" s="40"/>
      <x:c r="C1121" s="40"/>
      <x:c r="D1121" s="40"/>
      <x:c r="E1121" s="40"/>
      <x:c r="F1121" s="40"/>
      <x:c r="G1121" s="40"/>
      <x:c r="H1121" s="40"/>
    </x:row>
    <x:row r="1122">
      <x:c r="B1122" s="40"/>
      <x:c r="C1122" s="40"/>
      <x:c r="D1122" s="40"/>
      <x:c r="E1122" s="40"/>
      <x:c r="F1122" s="40"/>
      <x:c r="G1122" s="40"/>
      <x:c r="H1122" s="40"/>
    </x:row>
    <x:row r="1123">
      <x:c r="B1123" s="40"/>
      <x:c r="C1123" s="40"/>
      <x:c r="D1123" s="40"/>
      <x:c r="E1123" s="40"/>
      <x:c r="F1123" s="40"/>
      <x:c r="G1123" s="40"/>
      <x:c r="H1123" s="40"/>
    </x:row>
    <x:row r="1124">
      <x:c r="B1124" s="40"/>
      <x:c r="C1124" s="40"/>
      <x:c r="D1124" s="40"/>
      <x:c r="E1124" s="40"/>
      <x:c r="F1124" s="40"/>
      <x:c r="G1124" s="40"/>
      <x:c r="H1124" s="40"/>
    </x:row>
    <x:row r="1125">
      <x:c r="B1125" s="40"/>
      <x:c r="C1125" s="40"/>
      <x:c r="D1125" s="40"/>
      <x:c r="E1125" s="40"/>
      <x:c r="F1125" s="40"/>
      <x:c r="G1125" s="40"/>
      <x:c r="H1125" s="40"/>
    </x:row>
    <x:row r="1126">
      <x:c r="B1126" s="40"/>
      <x:c r="C1126" s="40"/>
      <x:c r="D1126" s="40"/>
      <x:c r="E1126" s="40"/>
      <x:c r="F1126" s="40"/>
      <x:c r="G1126" s="40"/>
      <x:c r="H1126" s="40"/>
    </x:row>
    <x:row r="1127">
      <x:c r="B1127" s="40"/>
      <x:c r="C1127" s="40"/>
      <x:c r="D1127" s="40"/>
      <x:c r="E1127" s="40"/>
      <x:c r="F1127" s="40"/>
      <x:c r="G1127" s="40"/>
      <x:c r="H1127" s="40"/>
    </x:row>
    <x:row r="1128">
      <x:c r="B1128" s="40"/>
      <x:c r="C1128" s="40"/>
      <x:c r="D1128" s="40"/>
      <x:c r="E1128" s="40"/>
      <x:c r="F1128" s="40"/>
      <x:c r="G1128" s="40"/>
      <x:c r="H1128" s="40"/>
    </x:row>
    <x:row r="1129">
      <x:c r="B1129" s="40"/>
      <x:c r="C1129" s="40"/>
      <x:c r="D1129" s="40"/>
      <x:c r="E1129" s="40"/>
      <x:c r="F1129" s="40"/>
      <x:c r="G1129" s="40"/>
      <x:c r="H1129" s="40"/>
    </x:row>
    <x:row r="1130">
      <x:c r="B1130" s="40"/>
      <x:c r="C1130" s="40"/>
      <x:c r="D1130" s="40"/>
      <x:c r="E1130" s="40"/>
      <x:c r="F1130" s="40"/>
      <x:c r="G1130" s="40"/>
      <x:c r="H1130" s="40"/>
    </x:row>
    <x:row r="1131">
      <x:c r="B1131" s="40"/>
      <x:c r="C1131" s="40"/>
      <x:c r="D1131" s="40"/>
      <x:c r="E1131" s="40"/>
      <x:c r="F1131" s="40"/>
      <x:c r="G1131" s="40"/>
      <x:c r="H1131" s="40"/>
    </x:row>
    <x:row r="1132">
      <x:c r="B1132" s="40"/>
      <x:c r="C1132" s="40"/>
      <x:c r="D1132" s="40"/>
      <x:c r="E1132" s="40"/>
      <x:c r="F1132" s="40"/>
      <x:c r="G1132" s="40"/>
      <x:c r="H1132" s="40"/>
    </x:row>
    <x:row r="1133">
      <x:c r="B1133" s="40"/>
      <x:c r="C1133" s="40"/>
      <x:c r="D1133" s="40"/>
      <x:c r="E1133" s="40"/>
      <x:c r="F1133" s="40"/>
      <x:c r="G1133" s="40"/>
      <x:c r="H1133" s="40"/>
    </x:row>
    <x:row r="1134">
      <x:c r="B1134" s="40"/>
      <x:c r="C1134" s="40"/>
      <x:c r="D1134" s="40"/>
      <x:c r="E1134" s="40"/>
      <x:c r="F1134" s="40"/>
      <x:c r="G1134" s="40"/>
      <x:c r="H1134" s="40"/>
    </x:row>
    <x:row r="1135">
      <x:c r="B1135" s="40"/>
      <x:c r="C1135" s="40"/>
      <x:c r="D1135" s="40"/>
      <x:c r="E1135" s="40"/>
      <x:c r="F1135" s="40"/>
      <x:c r="G1135" s="40"/>
      <x:c r="H1135" s="40"/>
    </x:row>
    <x:row r="1136">
      <x:c r="B1136" s="40"/>
      <x:c r="C1136" s="40"/>
      <x:c r="D1136" s="40"/>
      <x:c r="E1136" s="40"/>
      <x:c r="F1136" s="40"/>
      <x:c r="G1136" s="40"/>
      <x:c r="H1136" s="40"/>
    </x:row>
    <x:row r="1137">
      <x:c r="B1137" s="40"/>
      <x:c r="C1137" s="40"/>
      <x:c r="D1137" s="40"/>
      <x:c r="E1137" s="40"/>
      <x:c r="F1137" s="40"/>
      <x:c r="G1137" s="40"/>
      <x:c r="H1137" s="40"/>
    </x:row>
    <x:row r="1138">
      <x:c r="B1138" s="40"/>
      <x:c r="C1138" s="40"/>
      <x:c r="D1138" s="40"/>
      <x:c r="E1138" s="40"/>
      <x:c r="F1138" s="40"/>
      <x:c r="G1138" s="40"/>
      <x:c r="H1138" s="40"/>
    </x:row>
    <x:row r="1139">
      <x:c r="B1139" s="40"/>
      <x:c r="C1139" s="40"/>
      <x:c r="D1139" s="40"/>
      <x:c r="E1139" s="40"/>
      <x:c r="F1139" s="40"/>
      <x:c r="G1139" s="40"/>
      <x:c r="H1139" s="40"/>
    </x:row>
    <x:row r="1140">
      <x:c r="B1140" s="40"/>
      <x:c r="C1140" s="40"/>
      <x:c r="D1140" s="40"/>
      <x:c r="E1140" s="40"/>
      <x:c r="F1140" s="40"/>
      <x:c r="G1140" s="40"/>
      <x:c r="H1140" s="40"/>
    </x:row>
    <x:row r="1141">
      <x:c r="B1141" s="40"/>
      <x:c r="C1141" s="40"/>
      <x:c r="D1141" s="40"/>
      <x:c r="E1141" s="40"/>
      <x:c r="F1141" s="40"/>
      <x:c r="G1141" s="40"/>
      <x:c r="H1141" s="40"/>
    </x:row>
    <x:row r="1142">
      <x:c r="B1142" s="40"/>
      <x:c r="C1142" s="40"/>
      <x:c r="D1142" s="40"/>
      <x:c r="E1142" s="40"/>
      <x:c r="F1142" s="40"/>
      <x:c r="G1142" s="40"/>
      <x:c r="H1142" s="40"/>
    </x:row>
    <x:row r="1143">
      <x:c r="B1143" s="40"/>
      <x:c r="C1143" s="40"/>
      <x:c r="D1143" s="40"/>
      <x:c r="E1143" s="40"/>
      <x:c r="F1143" s="40"/>
      <x:c r="G1143" s="40"/>
      <x:c r="H1143" s="40"/>
    </x:row>
    <x:row r="1144">
      <x:c r="B1144" s="40"/>
      <x:c r="C1144" s="40"/>
      <x:c r="D1144" s="40"/>
      <x:c r="E1144" s="40"/>
      <x:c r="F1144" s="40"/>
      <x:c r="G1144" s="40"/>
      <x:c r="H1144" s="40"/>
    </x:row>
    <x:row r="1145">
      <x:c r="B1145" s="40"/>
      <x:c r="C1145" s="40"/>
      <x:c r="D1145" s="40"/>
      <x:c r="E1145" s="40"/>
      <x:c r="F1145" s="40"/>
      <x:c r="G1145" s="40"/>
      <x:c r="H1145" s="40"/>
    </x:row>
    <x:row r="1146">
      <x:c r="B1146" s="40"/>
      <x:c r="C1146" s="40"/>
      <x:c r="D1146" s="40"/>
      <x:c r="E1146" s="40"/>
      <x:c r="F1146" s="40"/>
      <x:c r="G1146" s="40"/>
      <x:c r="H1146" s="40"/>
    </x:row>
    <x:row r="1147">
      <x:c r="B1147" s="40"/>
      <x:c r="C1147" s="40"/>
      <x:c r="D1147" s="40"/>
      <x:c r="E1147" s="40"/>
      <x:c r="F1147" s="40"/>
      <x:c r="G1147" s="40"/>
      <x:c r="H1147" s="40"/>
    </x:row>
    <x:row r="1148">
      <x:c r="B1148" s="40"/>
      <x:c r="C1148" s="40"/>
      <x:c r="D1148" s="40"/>
      <x:c r="E1148" s="40"/>
      <x:c r="F1148" s="40"/>
      <x:c r="G1148" s="40"/>
      <x:c r="H1148" s="40"/>
    </x:row>
    <x:row r="1149">
      <x:c r="B1149" s="40"/>
      <x:c r="C1149" s="40"/>
      <x:c r="D1149" s="40"/>
      <x:c r="E1149" s="40"/>
      <x:c r="F1149" s="40"/>
      <x:c r="G1149" s="40"/>
      <x:c r="H1149" s="40"/>
    </x:row>
    <x:row r="1150">
      <x:c r="B1150" s="40"/>
      <x:c r="C1150" s="40"/>
      <x:c r="D1150" s="40"/>
      <x:c r="E1150" s="40"/>
      <x:c r="F1150" s="40"/>
      <x:c r="G1150" s="40"/>
      <x:c r="H1150" s="40"/>
    </x:row>
    <x:row r="1151">
      <x:c r="B1151" s="40"/>
      <x:c r="C1151" s="40"/>
      <x:c r="D1151" s="40"/>
      <x:c r="E1151" s="40"/>
      <x:c r="F1151" s="40"/>
      <x:c r="G1151" s="40"/>
      <x:c r="H1151" s="40"/>
    </x:row>
    <x:row r="1152">
      <x:c r="B1152" s="40"/>
      <x:c r="C1152" s="40"/>
      <x:c r="D1152" s="40"/>
      <x:c r="E1152" s="40"/>
      <x:c r="F1152" s="40"/>
      <x:c r="G1152" s="40"/>
      <x:c r="H1152" s="40"/>
    </x:row>
    <x:row r="1153">
      <x:c r="B1153" s="40"/>
      <x:c r="C1153" s="40"/>
      <x:c r="D1153" s="40"/>
      <x:c r="E1153" s="40"/>
      <x:c r="F1153" s="40"/>
      <x:c r="G1153" s="40"/>
      <x:c r="H1153" s="40"/>
    </x:row>
    <x:row r="1154">
      <x:c r="B1154" s="40"/>
      <x:c r="C1154" s="40"/>
      <x:c r="D1154" s="40"/>
      <x:c r="E1154" s="40"/>
      <x:c r="F1154" s="40"/>
      <x:c r="G1154" s="40"/>
      <x:c r="H1154" s="40"/>
    </x:row>
    <x:row r="1155">
      <x:c r="B1155" s="40"/>
      <x:c r="C1155" s="40"/>
      <x:c r="D1155" s="40"/>
      <x:c r="E1155" s="40"/>
      <x:c r="F1155" s="40"/>
      <x:c r="G1155" s="40"/>
      <x:c r="H1155" s="40"/>
    </x:row>
    <x:row r="1156">
      <x:c r="B1156" s="40"/>
      <x:c r="C1156" s="40"/>
      <x:c r="D1156" s="40"/>
      <x:c r="E1156" s="40"/>
      <x:c r="F1156" s="40"/>
      <x:c r="G1156" s="40"/>
      <x:c r="H1156" s="40"/>
    </x:row>
    <x:row r="1157">
      <x:c r="B1157" s="40"/>
      <x:c r="C1157" s="40"/>
      <x:c r="D1157" s="40"/>
      <x:c r="E1157" s="40"/>
      <x:c r="F1157" s="40"/>
      <x:c r="G1157" s="40"/>
      <x:c r="H1157" s="40"/>
    </x:row>
    <x:row r="1158">
      <x:c r="B1158" s="40"/>
      <x:c r="C1158" s="40"/>
      <x:c r="D1158" s="40"/>
      <x:c r="E1158" s="40"/>
      <x:c r="F1158" s="40"/>
      <x:c r="G1158" s="40"/>
      <x:c r="H1158" s="40"/>
    </x:row>
    <x:row r="1159">
      <x:c r="B1159" s="40"/>
      <x:c r="C1159" s="40"/>
      <x:c r="D1159" s="40"/>
      <x:c r="E1159" s="40"/>
      <x:c r="F1159" s="40"/>
      <x:c r="G1159" s="40"/>
      <x:c r="H1159" s="40"/>
    </x:row>
    <x:row r="1160">
      <x:c r="B1160" s="40"/>
      <x:c r="C1160" s="40"/>
      <x:c r="D1160" s="40"/>
      <x:c r="E1160" s="40"/>
      <x:c r="F1160" s="40"/>
      <x:c r="G1160" s="40"/>
      <x:c r="H1160" s="40"/>
    </x:row>
    <x:row r="1161">
      <x:c r="B1161" s="40"/>
      <x:c r="C1161" s="40"/>
      <x:c r="D1161" s="40"/>
      <x:c r="E1161" s="40"/>
      <x:c r="F1161" s="40"/>
      <x:c r="G1161" s="40"/>
      <x:c r="H1161" s="40"/>
    </x:row>
    <x:row r="1162">
      <x:c r="B1162" s="40"/>
      <x:c r="C1162" s="40"/>
      <x:c r="D1162" s="40"/>
      <x:c r="E1162" s="40"/>
      <x:c r="F1162" s="40"/>
      <x:c r="G1162" s="40"/>
      <x:c r="H1162" s="40"/>
    </x:row>
    <x:row r="1163">
      <x:c r="B1163" s="40"/>
      <x:c r="C1163" s="40"/>
      <x:c r="D1163" s="40"/>
      <x:c r="E1163" s="40"/>
      <x:c r="F1163" s="40"/>
      <x:c r="G1163" s="40"/>
      <x:c r="H1163" s="40"/>
    </x:row>
    <x:row r="1164">
      <x:c r="B1164" s="40"/>
      <x:c r="C1164" s="40"/>
      <x:c r="D1164" s="40"/>
      <x:c r="E1164" s="40"/>
      <x:c r="F1164" s="40"/>
      <x:c r="G1164" s="40"/>
      <x:c r="H1164" s="40"/>
    </x:row>
    <x:row r="1165">
      <x:c r="B1165" s="40"/>
      <x:c r="C1165" s="40"/>
      <x:c r="D1165" s="40"/>
      <x:c r="E1165" s="40"/>
      <x:c r="F1165" s="40"/>
      <x:c r="G1165" s="40"/>
      <x:c r="H1165" s="40"/>
    </x:row>
    <x:row r="1166">
      <x:c r="B1166" s="40"/>
      <x:c r="C1166" s="40"/>
      <x:c r="D1166" s="40"/>
      <x:c r="E1166" s="40"/>
      <x:c r="F1166" s="40"/>
      <x:c r="G1166" s="40"/>
      <x:c r="H1166" s="40"/>
    </x:row>
    <x:row r="1167">
      <x:c r="B1167" s="40"/>
      <x:c r="C1167" s="40"/>
      <x:c r="D1167" s="40"/>
      <x:c r="E1167" s="40"/>
      <x:c r="F1167" s="40"/>
      <x:c r="G1167" s="40"/>
      <x:c r="H1167" s="40"/>
    </x:row>
    <x:row r="1168">
      <x:c r="B1168" s="40"/>
      <x:c r="C1168" s="40"/>
      <x:c r="D1168" s="40"/>
      <x:c r="E1168" s="40"/>
      <x:c r="F1168" s="40"/>
      <x:c r="G1168" s="40"/>
      <x:c r="H1168" s="40"/>
    </x:row>
    <x:row r="1169">
      <x:c r="B1169" s="40"/>
      <x:c r="C1169" s="40"/>
      <x:c r="D1169" s="40"/>
      <x:c r="E1169" s="40"/>
      <x:c r="F1169" s="40"/>
      <x:c r="G1169" s="40"/>
      <x:c r="H1169" s="40"/>
    </x:row>
    <x:row r="1170">
      <x:c r="B1170" s="40"/>
      <x:c r="C1170" s="40"/>
      <x:c r="D1170" s="40"/>
      <x:c r="E1170" s="40"/>
      <x:c r="F1170" s="40"/>
      <x:c r="G1170" s="40"/>
      <x:c r="H1170" s="40"/>
    </x:row>
    <x:row r="1171">
      <x:c r="B1171" s="40"/>
      <x:c r="C1171" s="40"/>
      <x:c r="D1171" s="40"/>
      <x:c r="E1171" s="40"/>
      <x:c r="F1171" s="40"/>
      <x:c r="G1171" s="40"/>
      <x:c r="H1171" s="40"/>
    </x:row>
    <x:row r="1172">
      <x:c r="B1172" s="40"/>
      <x:c r="C1172" s="40"/>
      <x:c r="D1172" s="40"/>
      <x:c r="E1172" s="40"/>
      <x:c r="F1172" s="40"/>
      <x:c r="G1172" s="40"/>
      <x:c r="H1172" s="40"/>
    </x:row>
    <x:row r="1173">
      <x:c r="B1173" s="40"/>
      <x:c r="C1173" s="40"/>
      <x:c r="D1173" s="40"/>
      <x:c r="E1173" s="40"/>
      <x:c r="F1173" s="40"/>
      <x:c r="G1173" s="40"/>
      <x:c r="H1173" s="40"/>
    </x:row>
    <x:row r="1174">
      <x:c r="B1174" s="40"/>
      <x:c r="C1174" s="40"/>
      <x:c r="D1174" s="40"/>
      <x:c r="E1174" s="40"/>
      <x:c r="F1174" s="40"/>
      <x:c r="G1174" s="40"/>
      <x:c r="H1174" s="40"/>
    </x:row>
    <x:row r="1175">
      <x:c r="B1175" s="40"/>
      <x:c r="C1175" s="40"/>
      <x:c r="D1175" s="40"/>
      <x:c r="E1175" s="40"/>
      <x:c r="F1175" s="40"/>
      <x:c r="G1175" s="40"/>
      <x:c r="H1175" s="40"/>
    </x:row>
    <x:row r="1176">
      <x:c r="B1176" s="40"/>
      <x:c r="C1176" s="40"/>
      <x:c r="D1176" s="40"/>
      <x:c r="E1176" s="40"/>
      <x:c r="F1176" s="40"/>
      <x:c r="G1176" s="40"/>
      <x:c r="H1176" s="40"/>
    </x:row>
    <x:row r="1177">
      <x:c r="B1177" s="40"/>
      <x:c r="C1177" s="40"/>
      <x:c r="D1177" s="40"/>
      <x:c r="E1177" s="40"/>
      <x:c r="F1177" s="40"/>
      <x:c r="G1177" s="40"/>
      <x:c r="H1177" s="40"/>
    </x:row>
    <x:row r="1178">
      <x:c r="B1178" s="40"/>
      <x:c r="C1178" s="40"/>
      <x:c r="D1178" s="40"/>
      <x:c r="E1178" s="40"/>
      <x:c r="F1178" s="40"/>
      <x:c r="G1178" s="40"/>
      <x:c r="H1178" s="40"/>
    </x:row>
    <x:row r="1179">
      <x:c r="B1179" s="40"/>
      <x:c r="C1179" s="40"/>
      <x:c r="D1179" s="40"/>
      <x:c r="E1179" s="40"/>
      <x:c r="F1179" s="40"/>
      <x:c r="G1179" s="40"/>
      <x:c r="H1179" s="40"/>
    </x:row>
    <x:row r="1180">
      <x:c r="B1180" s="40"/>
      <x:c r="C1180" s="40"/>
      <x:c r="D1180" s="40"/>
      <x:c r="E1180" s="40"/>
      <x:c r="F1180" s="40"/>
      <x:c r="G1180" s="40"/>
      <x:c r="H1180" s="40"/>
    </x:row>
    <x:row r="1181">
      <x:c r="B1181" s="40"/>
      <x:c r="C1181" s="40"/>
      <x:c r="D1181" s="40"/>
      <x:c r="E1181" s="40"/>
      <x:c r="F1181" s="40"/>
      <x:c r="G1181" s="40"/>
      <x:c r="H1181" s="40"/>
    </x:row>
    <x:row r="1182">
      <x:c r="B1182" s="40"/>
      <x:c r="C1182" s="40"/>
      <x:c r="D1182" s="40"/>
      <x:c r="E1182" s="40"/>
      <x:c r="F1182" s="40"/>
      <x:c r="G1182" s="40"/>
      <x:c r="H1182" s="40"/>
    </x:row>
    <x:row r="1183">
      <x:c r="B1183" s="40"/>
      <x:c r="C1183" s="40"/>
      <x:c r="D1183" s="40"/>
      <x:c r="E1183" s="40"/>
      <x:c r="F1183" s="40"/>
      <x:c r="G1183" s="40"/>
      <x:c r="H1183" s="40"/>
    </x:row>
    <x:row r="1184">
      <x:c r="B1184" s="40"/>
      <x:c r="C1184" s="40"/>
      <x:c r="D1184" s="40"/>
      <x:c r="E1184" s="40"/>
      <x:c r="F1184" s="40"/>
      <x:c r="G1184" s="40"/>
      <x:c r="H1184" s="40"/>
    </x:row>
    <x:row r="1185">
      <x:c r="B1185" s="40"/>
      <x:c r="C1185" s="40"/>
      <x:c r="D1185" s="40"/>
      <x:c r="E1185" s="40"/>
      <x:c r="F1185" s="40"/>
      <x:c r="G1185" s="40"/>
      <x:c r="H1185" s="40"/>
    </x:row>
    <x:row r="1186">
      <x:c r="B1186" s="40"/>
      <x:c r="C1186" s="40"/>
      <x:c r="D1186" s="40"/>
      <x:c r="E1186" s="40"/>
      <x:c r="F1186" s="40"/>
      <x:c r="G1186" s="40"/>
      <x:c r="H1186" s="40"/>
    </x:row>
    <x:row r="1187">
      <x:c r="B1187" s="40"/>
      <x:c r="C1187" s="40"/>
      <x:c r="D1187" s="40"/>
      <x:c r="E1187" s="40"/>
      <x:c r="F1187" s="40"/>
      <x:c r="G1187" s="40"/>
      <x:c r="H1187" s="40"/>
    </x:row>
    <x:row r="1188">
      <x:c r="B1188" s="40"/>
      <x:c r="C1188" s="40"/>
      <x:c r="D1188" s="40"/>
      <x:c r="E1188" s="40"/>
      <x:c r="F1188" s="40"/>
      <x:c r="G1188" s="40"/>
      <x:c r="H1188" s="40"/>
    </x:row>
    <x:row r="1189">
      <x:c r="B1189" s="40"/>
      <x:c r="C1189" s="40"/>
      <x:c r="D1189" s="40"/>
      <x:c r="E1189" s="40"/>
      <x:c r="F1189" s="40"/>
      <x:c r="G1189" s="40"/>
      <x:c r="H1189" s="40"/>
    </x:row>
    <x:row r="1190">
      <x:c r="B1190" s="40"/>
      <x:c r="C1190" s="40"/>
      <x:c r="D1190" s="40"/>
      <x:c r="E1190" s="40"/>
      <x:c r="F1190" s="40"/>
      <x:c r="G1190" s="40"/>
      <x:c r="H1190" s="40"/>
    </x:row>
    <x:row r="1191">
      <x:c r="B1191" s="40"/>
      <x:c r="C1191" s="40"/>
      <x:c r="D1191" s="40"/>
      <x:c r="E1191" s="40"/>
      <x:c r="F1191" s="40"/>
      <x:c r="G1191" s="40"/>
      <x:c r="H1191" s="40"/>
    </x:row>
    <x:row r="1192">
      <x:c r="B1192" s="40"/>
      <x:c r="C1192" s="40"/>
      <x:c r="D1192" s="40"/>
      <x:c r="E1192" s="40"/>
      <x:c r="F1192" s="40"/>
      <x:c r="G1192" s="40"/>
      <x:c r="H1192" s="40"/>
    </x:row>
    <x:row r="1193">
      <x:c r="B1193" s="40"/>
      <x:c r="C1193" s="40"/>
      <x:c r="D1193" s="40"/>
      <x:c r="E1193" s="40"/>
      <x:c r="F1193" s="40"/>
      <x:c r="G1193" s="40"/>
      <x:c r="H1193" s="40"/>
    </x:row>
    <x:row r="1194">
      <x:c r="B1194" s="40"/>
      <x:c r="C1194" s="40"/>
      <x:c r="D1194" s="40"/>
      <x:c r="E1194" s="40"/>
      <x:c r="F1194" s="40"/>
      <x:c r="G1194" s="40"/>
      <x:c r="H1194" s="40"/>
    </x:row>
    <x:row r="1195">
      <x:c r="B1195" s="40"/>
      <x:c r="C1195" s="40"/>
      <x:c r="D1195" s="40"/>
      <x:c r="E1195" s="40"/>
      <x:c r="F1195" s="40"/>
      <x:c r="G1195" s="40"/>
      <x:c r="H1195" s="40"/>
    </x:row>
    <x:row r="1196">
      <x:c r="B1196" s="40"/>
      <x:c r="C1196" s="40"/>
      <x:c r="D1196" s="40"/>
      <x:c r="E1196" s="40"/>
      <x:c r="F1196" s="40"/>
      <x:c r="G1196" s="40"/>
      <x:c r="H1196" s="40"/>
    </x:row>
    <x:row r="1197">
      <x:c r="B1197" s="40"/>
      <x:c r="C1197" s="40"/>
      <x:c r="D1197" s="40"/>
      <x:c r="E1197" s="40"/>
      <x:c r="F1197" s="40"/>
      <x:c r="G1197" s="40"/>
      <x:c r="H1197" s="40"/>
    </x:row>
    <x:row r="1198">
      <x:c r="B1198" s="40"/>
      <x:c r="C1198" s="40"/>
      <x:c r="D1198" s="40"/>
      <x:c r="E1198" s="40"/>
      <x:c r="F1198" s="40"/>
      <x:c r="G1198" s="40"/>
      <x:c r="H1198" s="40"/>
    </x:row>
    <x:row r="1199">
      <x:c r="B1199" s="40"/>
      <x:c r="C1199" s="40"/>
      <x:c r="D1199" s="40"/>
      <x:c r="E1199" s="40"/>
      <x:c r="F1199" s="40"/>
      <x:c r="G1199" s="40"/>
      <x:c r="H1199" s="40"/>
    </x:row>
    <x:row r="1200">
      <x:c r="B1200" s="40"/>
      <x:c r="C1200" s="40"/>
      <x:c r="D1200" s="40"/>
      <x:c r="E1200" s="40"/>
      <x:c r="F1200" s="40"/>
      <x:c r="G1200" s="40"/>
      <x:c r="H1200" s="40"/>
    </x:row>
    <x:row r="1201">
      <x:c r="B1201" s="40"/>
      <x:c r="C1201" s="40"/>
      <x:c r="D1201" s="40"/>
      <x:c r="E1201" s="40"/>
      <x:c r="F1201" s="40"/>
      <x:c r="G1201" s="40"/>
      <x:c r="H1201" s="40"/>
    </x:row>
    <x:row r="1202">
      <x:c r="B1202" s="40"/>
      <x:c r="C1202" s="40"/>
      <x:c r="D1202" s="40"/>
      <x:c r="E1202" s="40"/>
      <x:c r="F1202" s="40"/>
      <x:c r="G1202" s="40"/>
      <x:c r="H1202" s="40"/>
    </x:row>
    <x:row r="1203">
      <x:c r="B1203" s="40"/>
      <x:c r="C1203" s="40"/>
      <x:c r="D1203" s="40"/>
      <x:c r="E1203" s="40"/>
      <x:c r="F1203" s="40"/>
      <x:c r="G1203" s="40"/>
      <x:c r="H1203" s="40"/>
    </x:row>
    <x:row r="1204">
      <x:c r="B1204" s="40"/>
      <x:c r="C1204" s="40"/>
      <x:c r="D1204" s="40"/>
      <x:c r="E1204" s="40"/>
      <x:c r="F1204" s="40"/>
      <x:c r="G1204" s="40"/>
      <x:c r="H1204" s="40"/>
    </x:row>
    <x:row r="1205">
      <x:c r="B1205" s="40"/>
      <x:c r="C1205" s="40"/>
      <x:c r="D1205" s="40"/>
      <x:c r="E1205" s="40"/>
      <x:c r="F1205" s="40"/>
      <x:c r="G1205" s="40"/>
      <x:c r="H1205" s="40"/>
    </x:row>
    <x:row r="1206">
      <x:c r="B1206" s="40"/>
      <x:c r="C1206" s="40"/>
      <x:c r="D1206" s="40"/>
      <x:c r="E1206" s="40"/>
      <x:c r="F1206" s="40"/>
      <x:c r="G1206" s="40"/>
      <x:c r="H1206" s="40"/>
    </x:row>
    <x:row r="1207">
      <x:c r="B1207" s="40"/>
      <x:c r="C1207" s="40"/>
      <x:c r="D1207" s="40"/>
      <x:c r="E1207" s="40"/>
      <x:c r="F1207" s="40"/>
      <x:c r="G1207" s="40"/>
      <x:c r="H1207" s="40"/>
    </x:row>
    <x:row r="1208">
      <x:c r="B1208" s="40"/>
      <x:c r="C1208" s="40"/>
      <x:c r="D1208" s="40"/>
      <x:c r="E1208" s="40"/>
      <x:c r="F1208" s="40"/>
      <x:c r="G1208" s="40"/>
      <x:c r="H1208" s="40"/>
    </x:row>
    <x:row r="1209">
      <x:c r="B1209" s="40"/>
      <x:c r="C1209" s="40"/>
      <x:c r="D1209" s="40"/>
      <x:c r="E1209" s="40"/>
      <x:c r="F1209" s="40"/>
      <x:c r="G1209" s="40"/>
      <x:c r="H1209" s="40"/>
    </x:row>
    <x:row r="1210">
      <x:c r="B1210" s="40"/>
      <x:c r="C1210" s="40"/>
      <x:c r="D1210" s="40"/>
      <x:c r="E1210" s="40"/>
      <x:c r="F1210" s="40"/>
      <x:c r="G1210" s="40"/>
      <x:c r="H1210" s="40"/>
    </x:row>
    <x:row r="1211">
      <x:c r="B1211" s="40"/>
      <x:c r="C1211" s="40"/>
      <x:c r="D1211" s="40"/>
      <x:c r="E1211" s="40"/>
      <x:c r="F1211" s="40"/>
      <x:c r="G1211" s="40"/>
      <x:c r="H1211" s="40"/>
    </x:row>
    <x:row r="1212">
      <x:c r="B1212" s="40"/>
      <x:c r="C1212" s="40"/>
      <x:c r="D1212" s="40"/>
      <x:c r="E1212" s="40"/>
      <x:c r="F1212" s="40"/>
      <x:c r="G1212" s="40"/>
      <x:c r="H1212" s="40"/>
    </x:row>
    <x:row r="1213">
      <x:c r="B1213" s="40"/>
      <x:c r="C1213" s="40"/>
      <x:c r="D1213" s="40"/>
      <x:c r="E1213" s="40"/>
      <x:c r="F1213" s="40"/>
      <x:c r="G1213" s="40"/>
      <x:c r="H1213" s="40"/>
    </x:row>
    <x:row r="1214">
      <x:c r="B1214" s="40"/>
      <x:c r="C1214" s="40"/>
      <x:c r="D1214" s="40"/>
      <x:c r="E1214" s="40"/>
      <x:c r="F1214" s="40"/>
      <x:c r="G1214" s="40"/>
      <x:c r="H1214" s="40"/>
    </x:row>
    <x:row r="1215">
      <x:c r="B1215" s="40"/>
      <x:c r="C1215" s="40"/>
      <x:c r="D1215" s="40"/>
      <x:c r="E1215" s="40"/>
      <x:c r="F1215" s="40"/>
      <x:c r="G1215" s="40"/>
      <x:c r="H1215" s="40"/>
    </x:row>
    <x:row r="1216">
      <x:c r="B1216" s="40"/>
      <x:c r="C1216" s="40"/>
      <x:c r="D1216" s="40"/>
      <x:c r="E1216" s="40"/>
      <x:c r="F1216" s="40"/>
      <x:c r="G1216" s="40"/>
      <x:c r="H1216" s="40"/>
    </x:row>
    <x:row r="1217">
      <x:c r="B1217" s="40"/>
      <x:c r="C1217" s="40"/>
      <x:c r="D1217" s="40"/>
      <x:c r="E1217" s="40"/>
      <x:c r="F1217" s="40"/>
      <x:c r="G1217" s="40"/>
      <x:c r="H1217" s="40"/>
    </x:row>
    <x:row r="1218">
      <x:c r="B1218" s="40"/>
      <x:c r="C1218" s="40"/>
      <x:c r="D1218" s="40"/>
      <x:c r="E1218" s="40"/>
      <x:c r="F1218" s="40"/>
      <x:c r="G1218" s="40"/>
      <x:c r="H1218" s="40"/>
    </x:row>
    <x:row r="1219">
      <x:c r="B1219" s="40"/>
      <x:c r="C1219" s="40"/>
      <x:c r="D1219" s="40"/>
      <x:c r="E1219" s="40"/>
      <x:c r="F1219" s="40"/>
      <x:c r="G1219" s="40"/>
      <x:c r="H1219" s="40"/>
    </x:row>
    <x:row r="1220">
      <x:c r="B1220" s="40"/>
      <x:c r="C1220" s="40"/>
      <x:c r="D1220" s="40"/>
      <x:c r="E1220" s="40"/>
      <x:c r="F1220" s="40"/>
      <x:c r="G1220" s="40"/>
      <x:c r="H1220" s="40"/>
    </x:row>
    <x:row r="1221">
      <x:c r="B1221" s="40"/>
      <x:c r="C1221" s="40"/>
      <x:c r="D1221" s="40"/>
      <x:c r="E1221" s="40"/>
      <x:c r="F1221" s="40"/>
      <x:c r="G1221" s="40"/>
      <x:c r="H1221" s="40"/>
    </x:row>
    <x:row r="1222">
      <x:c r="B1222" s="40"/>
      <x:c r="C1222" s="40"/>
      <x:c r="D1222" s="40"/>
      <x:c r="E1222" s="40"/>
      <x:c r="F1222" s="40"/>
      <x:c r="G1222" s="40"/>
      <x:c r="H1222" s="40"/>
    </x:row>
    <x:row r="1223">
      <x:c r="B1223" s="40"/>
      <x:c r="C1223" s="40"/>
      <x:c r="D1223" s="40"/>
      <x:c r="E1223" s="40"/>
      <x:c r="F1223" s="40"/>
      <x:c r="G1223" s="40"/>
      <x:c r="H1223" s="40"/>
    </x:row>
    <x:row r="1224">
      <x:c r="B1224" s="40"/>
      <x:c r="C1224" s="40"/>
      <x:c r="D1224" s="40"/>
      <x:c r="E1224" s="40"/>
      <x:c r="F1224" s="40"/>
      <x:c r="G1224" s="40"/>
      <x:c r="H1224" s="40"/>
    </x:row>
    <x:row r="1225">
      <x:c r="B1225" s="40"/>
      <x:c r="C1225" s="40"/>
      <x:c r="D1225" s="40"/>
      <x:c r="E1225" s="40"/>
      <x:c r="F1225" s="40"/>
      <x:c r="G1225" s="40"/>
      <x:c r="H1225" s="40"/>
    </x:row>
    <x:row r="1226">
      <x:c r="B1226" s="40"/>
      <x:c r="C1226" s="40"/>
      <x:c r="D1226" s="40"/>
      <x:c r="E1226" s="40"/>
      <x:c r="F1226" s="40"/>
      <x:c r="G1226" s="40"/>
      <x:c r="H1226" s="40"/>
    </x:row>
    <x:row r="1227">
      <x:c r="B1227" s="40"/>
      <x:c r="C1227" s="40"/>
      <x:c r="D1227" s="40"/>
      <x:c r="E1227" s="40"/>
      <x:c r="F1227" s="40"/>
      <x:c r="G1227" s="40"/>
      <x:c r="H1227" s="40"/>
    </x:row>
    <x:row r="1228">
      <x:c r="B1228" s="40"/>
      <x:c r="C1228" s="40"/>
      <x:c r="D1228" s="40"/>
      <x:c r="E1228" s="40"/>
      <x:c r="F1228" s="40"/>
      <x:c r="G1228" s="40"/>
      <x:c r="H1228" s="40"/>
    </x:row>
    <x:row r="1229">
      <x:c r="B1229" s="40"/>
      <x:c r="C1229" s="40"/>
      <x:c r="D1229" s="40"/>
      <x:c r="E1229" s="40"/>
      <x:c r="F1229" s="40"/>
      <x:c r="G1229" s="40"/>
      <x:c r="H1229" s="40"/>
    </x:row>
    <x:row r="1230">
      <x:c r="B1230" s="40"/>
      <x:c r="C1230" s="40"/>
      <x:c r="D1230" s="40"/>
      <x:c r="E1230" s="40"/>
      <x:c r="F1230" s="40"/>
      <x:c r="G1230" s="40"/>
      <x:c r="H1230" s="40"/>
    </x:row>
    <x:row r="1231">
      <x:c r="B1231" s="40"/>
      <x:c r="C1231" s="40"/>
      <x:c r="D1231" s="40"/>
      <x:c r="E1231" s="40"/>
      <x:c r="F1231" s="40"/>
      <x:c r="G1231" s="40"/>
      <x:c r="H1231" s="40"/>
    </x:row>
    <x:row r="1232">
      <x:c r="B1232" s="40"/>
      <x:c r="C1232" s="40"/>
      <x:c r="D1232" s="40"/>
      <x:c r="E1232" s="40"/>
      <x:c r="F1232" s="40"/>
      <x:c r="G1232" s="40"/>
      <x:c r="H1232" s="40"/>
    </x:row>
    <x:row r="1233">
      <x:c r="B1233" s="40"/>
      <x:c r="C1233" s="40"/>
      <x:c r="D1233" s="40"/>
      <x:c r="E1233" s="40"/>
      <x:c r="F1233" s="40"/>
      <x:c r="G1233" s="40"/>
      <x:c r="H1233" s="40"/>
    </x:row>
    <x:row r="1234">
      <x:c r="B1234" s="40"/>
      <x:c r="C1234" s="40"/>
      <x:c r="D1234" s="40"/>
      <x:c r="E1234" s="40"/>
      <x:c r="F1234" s="40"/>
      <x:c r="G1234" s="40"/>
      <x:c r="H1234" s="40"/>
    </x:row>
    <x:row r="1235">
      <x:c r="B1235" s="40"/>
      <x:c r="C1235" s="40"/>
      <x:c r="D1235" s="40"/>
      <x:c r="E1235" s="40"/>
      <x:c r="F1235" s="40"/>
      <x:c r="G1235" s="40"/>
      <x:c r="H1235" s="40"/>
    </x:row>
    <x:row r="1236">
      <x:c r="B1236" s="40"/>
      <x:c r="C1236" s="40"/>
      <x:c r="D1236" s="40"/>
      <x:c r="E1236" s="40"/>
      <x:c r="F1236" s="40"/>
      <x:c r="G1236" s="40"/>
      <x:c r="H1236" s="40"/>
    </x:row>
    <x:row r="1237">
      <x:c r="B1237" s="40"/>
      <x:c r="C1237" s="40"/>
      <x:c r="D1237" s="40"/>
      <x:c r="E1237" s="40"/>
      <x:c r="F1237" s="40"/>
      <x:c r="G1237" s="40"/>
      <x:c r="H1237" s="40"/>
    </x:row>
    <x:row r="1238">
      <x:c r="B1238" s="40"/>
      <x:c r="C1238" s="40"/>
      <x:c r="D1238" s="40"/>
      <x:c r="E1238" s="40"/>
      <x:c r="F1238" s="40"/>
      <x:c r="G1238" s="40"/>
      <x:c r="H1238" s="40"/>
    </x:row>
    <x:row r="1239">
      <x:c r="B1239" s="40"/>
      <x:c r="C1239" s="40"/>
      <x:c r="D1239" s="40"/>
      <x:c r="E1239" s="40"/>
      <x:c r="F1239" s="40"/>
      <x:c r="G1239" s="40"/>
      <x:c r="H1239" s="40"/>
    </x:row>
    <x:row r="1240">
      <x:c r="B1240" s="40"/>
      <x:c r="C1240" s="40"/>
      <x:c r="D1240" s="40"/>
      <x:c r="E1240" s="40"/>
      <x:c r="F1240" s="40"/>
      <x:c r="G1240" s="40"/>
      <x:c r="H1240" s="40"/>
    </x:row>
    <x:row r="1241">
      <x:c r="B1241" s="40"/>
      <x:c r="C1241" s="40"/>
      <x:c r="D1241" s="40"/>
      <x:c r="E1241" s="40"/>
      <x:c r="F1241" s="40"/>
      <x:c r="G1241" s="40"/>
      <x:c r="H1241" s="40"/>
    </x:row>
    <x:row r="1242">
      <x:c r="B1242" s="40"/>
      <x:c r="C1242" s="40"/>
      <x:c r="D1242" s="40"/>
      <x:c r="E1242" s="40"/>
      <x:c r="F1242" s="40"/>
      <x:c r="G1242" s="40"/>
      <x:c r="H1242" s="40"/>
    </x:row>
    <x:row r="1243">
      <x:c r="B1243" s="40"/>
      <x:c r="C1243" s="40"/>
      <x:c r="D1243" s="40"/>
      <x:c r="E1243" s="40"/>
      <x:c r="F1243" s="40"/>
      <x:c r="G1243" s="40"/>
      <x:c r="H1243" s="40"/>
    </x:row>
    <x:row r="1244">
      <x:c r="B1244" s="40"/>
      <x:c r="C1244" s="40"/>
      <x:c r="D1244" s="40"/>
      <x:c r="E1244" s="40"/>
      <x:c r="F1244" s="40"/>
      <x:c r="G1244" s="40"/>
      <x:c r="H1244" s="40"/>
    </x:row>
    <x:row r="1245">
      <x:c r="B1245" s="40"/>
      <x:c r="C1245" s="40"/>
      <x:c r="D1245" s="40"/>
      <x:c r="E1245" s="40"/>
      <x:c r="F1245" s="40"/>
      <x:c r="G1245" s="40"/>
      <x:c r="H1245" s="40"/>
    </x:row>
    <x:row r="1246">
      <x:c r="B1246" s="40"/>
      <x:c r="C1246" s="40"/>
      <x:c r="D1246" s="40"/>
      <x:c r="E1246" s="40"/>
      <x:c r="F1246" s="40"/>
      <x:c r="G1246" s="40"/>
      <x:c r="H1246" s="40"/>
    </x:row>
    <x:row r="1247">
      <x:c r="B1247" s="40"/>
      <x:c r="C1247" s="40"/>
      <x:c r="D1247" s="40"/>
      <x:c r="E1247" s="40"/>
      <x:c r="F1247" s="40"/>
      <x:c r="G1247" s="40"/>
      <x:c r="H1247" s="40"/>
    </x:row>
    <x:row r="1248">
      <x:c r="B1248" s="40"/>
      <x:c r="C1248" s="40"/>
      <x:c r="D1248" s="40"/>
      <x:c r="E1248" s="40"/>
      <x:c r="F1248" s="40"/>
      <x:c r="G1248" s="40"/>
      <x:c r="H1248" s="40"/>
    </x:row>
    <x:row r="1249">
      <x:c r="B1249" s="40"/>
      <x:c r="C1249" s="40"/>
      <x:c r="D1249" s="40"/>
      <x:c r="E1249" s="40"/>
      <x:c r="F1249" s="40"/>
      <x:c r="G1249" s="40"/>
      <x:c r="H1249" s="40"/>
    </x:row>
    <x:row r="1250">
      <x:c r="B1250" s="40"/>
      <x:c r="C1250" s="40"/>
      <x:c r="D1250" s="40"/>
      <x:c r="E1250" s="40"/>
      <x:c r="F1250" s="40"/>
      <x:c r="G1250" s="40"/>
      <x:c r="H1250" s="40"/>
    </x:row>
    <x:row r="1251">
      <x:c r="B1251" s="40"/>
      <x:c r="C1251" s="40"/>
      <x:c r="D1251" s="40"/>
      <x:c r="E1251" s="40"/>
      <x:c r="F1251" s="40"/>
      <x:c r="G1251" s="40"/>
      <x:c r="H1251" s="40"/>
    </x:row>
    <x:row r="1252">
      <x:c r="B1252" s="40"/>
      <x:c r="C1252" s="40"/>
      <x:c r="D1252" s="40"/>
      <x:c r="E1252" s="40"/>
      <x:c r="F1252" s="40"/>
      <x:c r="G1252" s="40"/>
      <x:c r="H1252" s="40"/>
    </x:row>
    <x:row r="1253">
      <x:c r="B1253" s="40"/>
      <x:c r="C1253" s="40"/>
      <x:c r="D1253" s="40"/>
      <x:c r="E1253" s="40"/>
      <x:c r="F1253" s="40"/>
      <x:c r="G1253" s="40"/>
      <x:c r="H1253" s="40"/>
    </x:row>
    <x:row r="1254">
      <x:c r="B1254" s="40"/>
      <x:c r="C1254" s="40"/>
      <x:c r="D1254" s="40"/>
      <x:c r="E1254" s="40"/>
      <x:c r="F1254" s="40"/>
      <x:c r="G1254" s="40"/>
      <x:c r="H1254" s="40"/>
    </x:row>
    <x:row r="1255">
      <x:c r="B1255" s="40"/>
      <x:c r="C1255" s="40"/>
      <x:c r="D1255" s="40"/>
      <x:c r="E1255" s="40"/>
      <x:c r="F1255" s="40"/>
      <x:c r="G1255" s="40"/>
      <x:c r="H1255" s="40"/>
    </x:row>
    <x:row r="1256">
      <x:c r="B1256" s="40"/>
      <x:c r="C1256" s="40"/>
      <x:c r="D1256" s="40"/>
      <x:c r="E1256" s="40"/>
      <x:c r="F1256" s="40"/>
      <x:c r="G1256" s="40"/>
      <x:c r="H1256" s="40"/>
    </x:row>
    <x:row r="1257">
      <x:c r="B1257" s="40"/>
      <x:c r="C1257" s="40"/>
      <x:c r="D1257" s="40"/>
      <x:c r="E1257" s="40"/>
      <x:c r="F1257" s="40"/>
      <x:c r="G1257" s="40"/>
      <x:c r="H1257" s="40"/>
    </x:row>
    <x:row r="1258">
      <x:c r="B1258" s="40"/>
      <x:c r="C1258" s="40"/>
      <x:c r="D1258" s="40"/>
      <x:c r="E1258" s="40"/>
      <x:c r="F1258" s="40"/>
      <x:c r="G1258" s="40"/>
      <x:c r="H1258" s="40"/>
    </x:row>
    <x:row r="1259">
      <x:c r="B1259" s="40"/>
      <x:c r="C1259" s="40"/>
      <x:c r="D1259" s="40"/>
      <x:c r="E1259" s="40"/>
      <x:c r="F1259" s="40"/>
      <x:c r="G1259" s="40"/>
      <x:c r="H1259" s="40"/>
    </x:row>
    <x:row r="1260">
      <x:c r="B1260" s="40"/>
      <x:c r="C1260" s="40"/>
      <x:c r="D1260" s="40"/>
      <x:c r="E1260" s="40"/>
      <x:c r="F1260" s="40"/>
      <x:c r="G1260" s="40"/>
      <x:c r="H1260" s="40"/>
    </x:row>
    <x:row r="1261">
      <x:c r="B1261" s="40"/>
      <x:c r="C1261" s="40"/>
      <x:c r="D1261" s="40"/>
      <x:c r="E1261" s="40"/>
      <x:c r="F1261" s="40"/>
      <x:c r="G1261" s="40"/>
      <x:c r="H1261" s="40"/>
    </x:row>
    <x:row r="1262">
      <x:c r="B1262" s="40"/>
      <x:c r="C1262" s="40"/>
      <x:c r="D1262" s="40"/>
      <x:c r="E1262" s="40"/>
      <x:c r="F1262" s="40"/>
      <x:c r="G1262" s="40"/>
      <x:c r="H1262" s="40"/>
    </x:row>
    <x:row r="1263">
      <x:c r="B1263" s="40"/>
      <x:c r="C1263" s="40"/>
      <x:c r="D1263" s="40"/>
      <x:c r="E1263" s="40"/>
      <x:c r="F1263" s="40"/>
      <x:c r="G1263" s="40"/>
      <x:c r="H1263" s="40"/>
    </x:row>
    <x:row r="1264">
      <x:c r="B1264" s="40"/>
      <x:c r="C1264" s="40"/>
      <x:c r="D1264" s="40"/>
      <x:c r="E1264" s="40"/>
      <x:c r="F1264" s="40"/>
      <x:c r="G1264" s="40"/>
      <x:c r="H1264" s="40"/>
    </x:row>
    <x:row r="1265">
      <x:c r="B1265" s="40"/>
      <x:c r="C1265" s="40"/>
      <x:c r="D1265" s="40"/>
      <x:c r="E1265" s="40"/>
      <x:c r="F1265" s="40"/>
      <x:c r="G1265" s="40"/>
      <x:c r="H1265" s="40"/>
    </x:row>
    <x:row r="1266">
      <x:c r="B1266" s="40"/>
      <x:c r="C1266" s="40"/>
      <x:c r="D1266" s="40"/>
      <x:c r="E1266" s="40"/>
      <x:c r="F1266" s="40"/>
      <x:c r="G1266" s="40"/>
      <x:c r="H1266" s="40"/>
    </x:row>
    <x:row r="1267">
      <x:c r="B1267" s="40"/>
      <x:c r="C1267" s="40"/>
      <x:c r="D1267" s="40"/>
      <x:c r="E1267" s="40"/>
      <x:c r="F1267" s="40"/>
      <x:c r="G1267" s="40"/>
      <x:c r="H1267" s="40"/>
    </x:row>
    <x:row r="1268">
      <x:c r="B1268" s="40"/>
      <x:c r="C1268" s="40"/>
      <x:c r="D1268" s="40"/>
      <x:c r="E1268" s="40"/>
      <x:c r="F1268" s="40"/>
      <x:c r="G1268" s="40"/>
      <x:c r="H1268" s="40"/>
    </x:row>
    <x:row r="1269">
      <x:c r="B1269" s="40"/>
      <x:c r="C1269" s="40"/>
      <x:c r="D1269" s="40"/>
      <x:c r="E1269" s="40"/>
      <x:c r="F1269" s="40"/>
      <x:c r="G1269" s="40"/>
      <x:c r="H1269" s="40"/>
    </x:row>
    <x:row r="1270">
      <x:c r="B1270" s="40"/>
      <x:c r="C1270" s="40"/>
      <x:c r="D1270" s="40"/>
      <x:c r="E1270" s="40"/>
      <x:c r="F1270" s="40"/>
      <x:c r="G1270" s="40"/>
      <x:c r="H1270" s="40"/>
    </x:row>
    <x:row r="1271">
      <x:c r="B1271" s="40"/>
      <x:c r="C1271" s="40"/>
      <x:c r="D1271" s="40"/>
      <x:c r="E1271" s="40"/>
      <x:c r="F1271" s="40"/>
      <x:c r="G1271" s="40"/>
      <x:c r="H1271" s="40"/>
    </x:row>
    <x:row r="1272">
      <x:c r="B1272" s="40"/>
      <x:c r="C1272" s="40"/>
      <x:c r="D1272" s="40"/>
      <x:c r="E1272" s="40"/>
      <x:c r="F1272" s="40"/>
      <x:c r="G1272" s="40"/>
      <x:c r="H1272" s="40"/>
    </x:row>
    <x:row r="1273">
      <x:c r="B1273" s="40"/>
      <x:c r="C1273" s="40"/>
      <x:c r="D1273" s="40"/>
      <x:c r="E1273" s="40"/>
      <x:c r="F1273" s="40"/>
      <x:c r="G1273" s="40"/>
      <x:c r="H1273" s="40"/>
    </x:row>
    <x:row r="1274">
      <x:c r="B1274" s="40"/>
      <x:c r="C1274" s="40"/>
      <x:c r="D1274" s="40"/>
      <x:c r="E1274" s="40"/>
      <x:c r="F1274" s="40"/>
      <x:c r="G1274" s="40"/>
      <x:c r="H1274" s="40"/>
    </x:row>
    <x:row r="1275">
      <x:c r="B1275" s="40"/>
      <x:c r="C1275" s="40"/>
      <x:c r="D1275" s="40"/>
      <x:c r="E1275" s="40"/>
      <x:c r="F1275" s="40"/>
      <x:c r="G1275" s="40"/>
      <x:c r="H1275" s="40"/>
    </x:row>
    <x:row r="1276">
      <x:c r="B1276" s="40"/>
      <x:c r="C1276" s="40"/>
      <x:c r="D1276" s="40"/>
      <x:c r="E1276" s="40"/>
      <x:c r="F1276" s="40"/>
      <x:c r="G1276" s="40"/>
      <x:c r="H1276" s="40"/>
    </x:row>
    <x:row r="1277">
      <x:c r="B1277" s="40"/>
      <x:c r="C1277" s="40"/>
      <x:c r="D1277" s="40"/>
      <x:c r="E1277" s="40"/>
      <x:c r="F1277" s="40"/>
      <x:c r="G1277" s="40"/>
      <x:c r="H1277" s="40"/>
    </x:row>
    <x:row r="1278">
      <x:c r="B1278" s="40"/>
      <x:c r="C1278" s="40"/>
      <x:c r="D1278" s="40"/>
      <x:c r="E1278" s="40"/>
      <x:c r="F1278" s="40"/>
      <x:c r="G1278" s="40"/>
      <x:c r="H1278" s="40"/>
    </x:row>
    <x:row r="1279">
      <x:c r="B1279" s="40"/>
      <x:c r="C1279" s="40"/>
      <x:c r="D1279" s="40"/>
      <x:c r="E1279" s="40"/>
      <x:c r="F1279" s="40"/>
      <x:c r="G1279" s="40"/>
      <x:c r="H1279" s="40"/>
    </x:row>
    <x:row r="1280">
      <x:c r="B1280" s="40"/>
      <x:c r="C1280" s="40"/>
      <x:c r="D1280" s="40"/>
      <x:c r="E1280" s="40"/>
      <x:c r="F1280" s="40"/>
      <x:c r="G1280" s="40"/>
      <x:c r="H1280" s="40"/>
    </x:row>
    <x:row r="1281">
      <x:c r="B1281" s="40"/>
      <x:c r="C1281" s="40"/>
      <x:c r="D1281" s="40"/>
      <x:c r="E1281" s="40"/>
      <x:c r="F1281" s="40"/>
      <x:c r="G1281" s="40"/>
      <x:c r="H1281" s="40"/>
    </x:row>
    <x:row r="1282">
      <x:c r="B1282" s="40"/>
      <x:c r="C1282" s="40"/>
      <x:c r="D1282" s="40"/>
      <x:c r="E1282" s="40"/>
      <x:c r="F1282" s="40"/>
      <x:c r="G1282" s="40"/>
      <x:c r="H1282" s="40"/>
    </x:row>
    <x:row r="1283">
      <x:c r="B1283" s="40"/>
      <x:c r="C1283" s="40"/>
      <x:c r="D1283" s="40"/>
      <x:c r="E1283" s="40"/>
      <x:c r="F1283" s="40"/>
      <x:c r="G1283" s="40"/>
      <x:c r="H1283" s="40"/>
    </x:row>
    <x:row r="1284">
      <x:c r="B1284" s="40"/>
      <x:c r="C1284" s="40"/>
      <x:c r="D1284" s="40"/>
      <x:c r="E1284" s="40"/>
      <x:c r="F1284" s="40"/>
      <x:c r="G1284" s="40"/>
      <x:c r="H1284" s="40"/>
    </x:row>
    <x:row r="1285">
      <x:c r="B1285" s="40"/>
      <x:c r="C1285" s="40"/>
      <x:c r="D1285" s="40"/>
      <x:c r="E1285" s="40"/>
      <x:c r="F1285" s="40"/>
      <x:c r="G1285" s="40"/>
      <x:c r="H1285" s="40"/>
    </x:row>
    <x:row r="1286">
      <x:c r="B1286" s="40"/>
      <x:c r="C1286" s="40"/>
      <x:c r="D1286" s="40"/>
      <x:c r="E1286" s="40"/>
      <x:c r="F1286" s="40"/>
      <x:c r="G1286" s="40"/>
      <x:c r="H1286" s="40"/>
    </x:row>
    <x:row r="1287">
      <x:c r="B1287" s="40"/>
      <x:c r="C1287" s="40"/>
      <x:c r="D1287" s="40"/>
      <x:c r="E1287" s="40"/>
      <x:c r="F1287" s="40"/>
      <x:c r="G1287" s="40"/>
      <x:c r="H1287" s="40"/>
    </x:row>
    <x:row r="1288">
      <x:c r="B1288" s="40"/>
      <x:c r="C1288" s="40"/>
      <x:c r="D1288" s="40"/>
      <x:c r="E1288" s="40"/>
      <x:c r="F1288" s="40"/>
      <x:c r="G1288" s="40"/>
      <x:c r="H1288" s="40"/>
    </x:row>
    <x:row r="1289">
      <x:c r="B1289" s="40"/>
      <x:c r="C1289" s="40"/>
      <x:c r="D1289" s="40"/>
      <x:c r="E1289" s="40"/>
      <x:c r="F1289" s="40"/>
      <x:c r="G1289" s="40"/>
      <x:c r="H1289" s="40"/>
    </x:row>
    <x:row r="1290">
      <x:c r="B1290" s="40"/>
      <x:c r="C1290" s="40"/>
      <x:c r="D1290" s="40"/>
      <x:c r="E1290" s="40"/>
      <x:c r="F1290" s="40"/>
      <x:c r="G1290" s="40"/>
      <x:c r="H1290" s="40"/>
    </x:row>
    <x:row r="1291">
      <x:c r="B1291" s="40"/>
      <x:c r="C1291" s="40"/>
      <x:c r="D1291" s="40"/>
      <x:c r="E1291" s="40"/>
      <x:c r="F1291" s="40"/>
      <x:c r="G1291" s="40"/>
      <x:c r="H1291" s="40"/>
    </x:row>
    <x:row r="1292">
      <x:c r="B1292" s="40"/>
      <x:c r="C1292" s="40"/>
      <x:c r="D1292" s="40"/>
      <x:c r="E1292" s="40"/>
      <x:c r="F1292" s="40"/>
      <x:c r="G1292" s="40"/>
      <x:c r="H1292" s="40"/>
    </x:row>
    <x:row r="1293">
      <x:c r="B1293" s="40"/>
      <x:c r="C1293" s="40"/>
      <x:c r="D1293" s="40"/>
      <x:c r="E1293" s="40"/>
      <x:c r="F1293" s="40"/>
      <x:c r="G1293" s="40"/>
      <x:c r="H1293" s="40"/>
    </x:row>
    <x:row r="1294">
      <x:c r="B1294" s="40"/>
      <x:c r="C1294" s="40"/>
      <x:c r="D1294" s="40"/>
      <x:c r="E1294" s="40"/>
      <x:c r="F1294" s="40"/>
      <x:c r="G1294" s="40"/>
      <x:c r="H1294" s="40"/>
    </x:row>
    <x:row r="1295">
      <x:c r="B1295" s="40"/>
      <x:c r="C1295" s="40"/>
      <x:c r="D1295" s="40"/>
      <x:c r="E1295" s="40"/>
      <x:c r="F1295" s="40"/>
      <x:c r="G1295" s="40"/>
      <x:c r="H1295" s="40"/>
    </x:row>
    <x:row r="1296">
      <x:c r="B1296" s="40"/>
      <x:c r="C1296" s="40"/>
      <x:c r="D1296" s="40"/>
      <x:c r="E1296" s="40"/>
      <x:c r="F1296" s="40"/>
      <x:c r="G1296" s="40"/>
      <x:c r="H1296" s="40"/>
    </x:row>
    <x:row r="1297">
      <x:c r="B1297" s="40"/>
      <x:c r="C1297" s="40"/>
      <x:c r="D1297" s="40"/>
      <x:c r="E1297" s="40"/>
      <x:c r="F1297" s="40"/>
      <x:c r="G1297" s="40"/>
      <x:c r="H1297" s="40"/>
    </x:row>
    <x:row r="1298">
      <x:c r="B1298" s="40"/>
      <x:c r="C1298" s="40"/>
      <x:c r="D1298" s="40"/>
      <x:c r="E1298" s="40"/>
      <x:c r="F1298" s="40"/>
      <x:c r="G1298" s="40"/>
      <x:c r="H1298" s="40"/>
    </x:row>
    <x:row r="1299">
      <x:c r="B1299" s="40"/>
      <x:c r="C1299" s="40"/>
      <x:c r="D1299" s="40"/>
      <x:c r="E1299" s="40"/>
      <x:c r="F1299" s="40"/>
      <x:c r="G1299" s="40"/>
      <x:c r="H1299" s="40"/>
    </x:row>
    <x:row r="1300">
      <x:c r="B1300" s="40"/>
      <x:c r="C1300" s="40"/>
      <x:c r="D1300" s="40"/>
      <x:c r="E1300" s="40"/>
      <x:c r="F1300" s="40"/>
      <x:c r="G1300" s="40"/>
      <x:c r="H1300" s="40"/>
    </x:row>
    <x:row r="1301">
      <x:c r="B1301" s="40"/>
      <x:c r="C1301" s="40"/>
      <x:c r="D1301" s="40"/>
      <x:c r="E1301" s="40"/>
      <x:c r="F1301" s="40"/>
      <x:c r="G1301" s="40"/>
      <x:c r="H1301" s="40"/>
    </x:row>
    <x:row r="1302">
      <x:c r="B1302" s="40"/>
      <x:c r="C1302" s="40"/>
      <x:c r="D1302" s="40"/>
      <x:c r="E1302" s="40"/>
      <x:c r="F1302" s="40"/>
      <x:c r="G1302" s="40"/>
      <x:c r="H1302" s="40"/>
    </x:row>
    <x:row r="1303">
      <x:c r="B1303" s="40"/>
      <x:c r="C1303" s="40"/>
      <x:c r="D1303" s="40"/>
      <x:c r="E1303" s="40"/>
      <x:c r="F1303" s="40"/>
      <x:c r="G1303" s="40"/>
      <x:c r="H1303" s="40"/>
    </x:row>
    <x:row r="1304">
      <x:c r="B1304" s="40"/>
      <x:c r="C1304" s="40"/>
      <x:c r="D1304" s="40"/>
      <x:c r="E1304" s="40"/>
      <x:c r="F1304" s="40"/>
      <x:c r="G1304" s="40"/>
      <x:c r="H1304" s="40"/>
    </x:row>
    <x:row r="1305">
      <x:c r="B1305" s="40"/>
      <x:c r="C1305" s="40"/>
      <x:c r="D1305" s="40"/>
      <x:c r="E1305" s="40"/>
      <x:c r="F1305" s="40"/>
      <x:c r="G1305" s="40"/>
      <x:c r="H1305" s="40"/>
    </x:row>
    <x:row r="1306">
      <x:c r="B1306" s="40"/>
      <x:c r="C1306" s="40"/>
      <x:c r="D1306" s="40"/>
      <x:c r="E1306" s="40"/>
      <x:c r="F1306" s="40"/>
      <x:c r="G1306" s="40"/>
      <x:c r="H1306" s="40"/>
    </x:row>
    <x:row r="1307">
      <x:c r="B1307" s="40"/>
      <x:c r="C1307" s="40"/>
      <x:c r="D1307" s="40"/>
      <x:c r="E1307" s="40"/>
      <x:c r="F1307" s="40"/>
      <x:c r="G1307" s="40"/>
      <x:c r="H1307" s="40"/>
    </x:row>
    <x:row r="1308">
      <x:c r="B1308" s="40"/>
      <x:c r="C1308" s="40"/>
      <x:c r="D1308" s="40"/>
      <x:c r="E1308" s="40"/>
      <x:c r="F1308" s="40"/>
      <x:c r="G1308" s="40"/>
      <x:c r="H1308" s="40"/>
    </x:row>
    <x:row r="1309">
      <x:c r="B1309" s="40"/>
      <x:c r="C1309" s="40"/>
      <x:c r="D1309" s="40"/>
      <x:c r="E1309" s="40"/>
      <x:c r="F1309" s="40"/>
      <x:c r="G1309" s="40"/>
      <x:c r="H1309" s="40"/>
    </x:row>
    <x:row r="1310">
      <x:c r="B1310" s="40"/>
      <x:c r="C1310" s="40"/>
      <x:c r="D1310" s="40"/>
      <x:c r="E1310" s="40"/>
      <x:c r="F1310" s="40"/>
      <x:c r="G1310" s="40"/>
      <x:c r="H1310" s="40"/>
    </x:row>
    <x:row r="1311">
      <x:c r="B1311" s="40"/>
      <x:c r="C1311" s="40"/>
      <x:c r="D1311" s="40"/>
      <x:c r="E1311" s="40"/>
      <x:c r="F1311" s="40"/>
      <x:c r="G1311" s="40"/>
      <x:c r="H1311" s="40"/>
    </x:row>
    <x:row r="1312">
      <x:c r="B1312" s="40"/>
      <x:c r="C1312" s="40"/>
      <x:c r="D1312" s="40"/>
      <x:c r="E1312" s="40"/>
      <x:c r="F1312" s="40"/>
      <x:c r="G1312" s="40"/>
      <x:c r="H1312" s="40"/>
    </x:row>
    <x:row r="1313">
      <x:c r="B1313" s="40"/>
      <x:c r="C1313" s="40"/>
      <x:c r="D1313" s="40"/>
      <x:c r="E1313" s="40"/>
      <x:c r="F1313" s="40"/>
      <x:c r="G1313" s="40"/>
      <x:c r="H1313" s="40"/>
    </x:row>
    <x:row r="1314">
      <x:c r="B1314" s="40"/>
      <x:c r="C1314" s="40"/>
      <x:c r="D1314" s="40"/>
      <x:c r="E1314" s="40"/>
      <x:c r="F1314" s="40"/>
      <x:c r="G1314" s="40"/>
      <x:c r="H1314" s="40"/>
    </x:row>
    <x:row r="1315">
      <x:c r="B1315" s="40"/>
      <x:c r="C1315" s="40"/>
      <x:c r="D1315" s="40"/>
      <x:c r="E1315" s="40"/>
      <x:c r="F1315" s="40"/>
      <x:c r="G1315" s="40"/>
      <x:c r="H1315" s="40"/>
    </x:row>
    <x:row r="1316">
      <x:c r="B1316" s="40"/>
      <x:c r="C1316" s="40"/>
      <x:c r="D1316" s="40"/>
      <x:c r="E1316" s="40"/>
      <x:c r="F1316" s="40"/>
      <x:c r="G1316" s="40"/>
      <x:c r="H1316" s="40"/>
    </x:row>
    <x:row r="1317">
      <x:c r="B1317" s="40"/>
      <x:c r="C1317" s="40"/>
      <x:c r="D1317" s="40"/>
      <x:c r="E1317" s="40"/>
      <x:c r="F1317" s="40"/>
      <x:c r="G1317" s="40"/>
      <x:c r="H1317" s="40"/>
    </x:row>
    <x:row r="1318">
      <x:c r="B1318" s="40"/>
      <x:c r="C1318" s="40"/>
      <x:c r="D1318" s="40"/>
      <x:c r="E1318" s="40"/>
      <x:c r="F1318" s="40"/>
      <x:c r="G1318" s="40"/>
      <x:c r="H1318" s="40"/>
    </x:row>
    <x:row r="1319">
      <x:c r="B1319" s="40"/>
      <x:c r="C1319" s="40"/>
      <x:c r="D1319" s="40"/>
      <x:c r="E1319" s="40"/>
      <x:c r="F1319" s="40"/>
      <x:c r="G1319" s="40"/>
      <x:c r="H1319" s="40"/>
    </x:row>
    <x:row r="1320">
      <x:c r="B1320" s="40"/>
      <x:c r="C1320" s="40"/>
      <x:c r="D1320" s="40"/>
      <x:c r="E1320" s="40"/>
      <x:c r="F1320" s="40"/>
      <x:c r="G1320" s="40"/>
      <x:c r="H1320" s="40"/>
    </x:row>
    <x:row r="1321">
      <x:c r="B1321" s="40"/>
      <x:c r="C1321" s="40"/>
      <x:c r="D1321" s="40"/>
      <x:c r="E1321" s="40"/>
      <x:c r="F1321" s="40"/>
      <x:c r="G1321" s="40"/>
      <x:c r="H1321" s="40"/>
    </x:row>
    <x:row r="1322">
      <x:c r="B1322" s="40"/>
      <x:c r="C1322" s="40"/>
      <x:c r="D1322" s="40"/>
      <x:c r="E1322" s="40"/>
      <x:c r="F1322" s="40"/>
      <x:c r="G1322" s="40"/>
      <x:c r="H1322" s="40"/>
    </x:row>
    <x:row r="1323">
      <x:c r="B1323" s="40"/>
      <x:c r="C1323" s="40"/>
      <x:c r="D1323" s="40"/>
      <x:c r="E1323" s="40"/>
      <x:c r="F1323" s="40"/>
      <x:c r="G1323" s="40"/>
      <x:c r="H1323" s="40"/>
    </x:row>
    <x:row r="1324">
      <x:c r="B1324" s="40"/>
      <x:c r="C1324" s="40"/>
      <x:c r="D1324" s="40"/>
      <x:c r="E1324" s="40"/>
      <x:c r="F1324" s="40"/>
      <x:c r="G1324" s="40"/>
      <x:c r="H1324" s="40"/>
    </x:row>
    <x:row r="1325">
      <x:c r="B1325" s="40"/>
      <x:c r="C1325" s="40"/>
      <x:c r="D1325" s="40"/>
      <x:c r="E1325" s="40"/>
      <x:c r="F1325" s="40"/>
      <x:c r="G1325" s="40"/>
      <x:c r="H1325" s="40"/>
    </x:row>
    <x:row r="1326">
      <x:c r="B1326" s="40"/>
      <x:c r="C1326" s="40"/>
      <x:c r="D1326" s="40"/>
      <x:c r="E1326" s="40"/>
      <x:c r="F1326" s="40"/>
      <x:c r="G1326" s="40"/>
      <x:c r="H1326" s="40"/>
    </x:row>
    <x:row r="1327">
      <x:c r="B1327" s="40"/>
      <x:c r="C1327" s="40"/>
      <x:c r="D1327" s="40"/>
      <x:c r="E1327" s="40"/>
      <x:c r="F1327" s="40"/>
      <x:c r="G1327" s="40"/>
      <x:c r="H1327" s="40"/>
    </x:row>
    <x:row r="1328">
      <x:c r="B1328" s="40"/>
      <x:c r="C1328" s="40"/>
      <x:c r="D1328" s="40"/>
      <x:c r="E1328" s="40"/>
      <x:c r="F1328" s="40"/>
      <x:c r="G1328" s="40"/>
      <x:c r="H1328" s="40"/>
    </x:row>
    <x:row r="1329">
      <x:c r="B1329" s="40"/>
      <x:c r="C1329" s="40"/>
      <x:c r="D1329" s="40"/>
      <x:c r="E1329" s="40"/>
      <x:c r="F1329" s="40"/>
      <x:c r="G1329" s="40"/>
      <x:c r="H1329" s="40"/>
    </x:row>
    <x:row r="1330">
      <x:c r="B1330" s="40"/>
      <x:c r="C1330" s="40"/>
      <x:c r="D1330" s="40"/>
      <x:c r="E1330" s="40"/>
      <x:c r="F1330" s="40"/>
      <x:c r="G1330" s="40"/>
      <x:c r="H1330" s="40"/>
    </x:row>
    <x:row r="1331">
      <x:c r="B1331" s="40"/>
      <x:c r="C1331" s="40"/>
      <x:c r="D1331" s="40"/>
      <x:c r="E1331" s="40"/>
      <x:c r="F1331" s="40"/>
      <x:c r="G1331" s="40"/>
      <x:c r="H1331" s="40"/>
    </x:row>
    <x:row r="1332">
      <x:c r="B1332" s="40"/>
      <x:c r="C1332" s="40"/>
      <x:c r="D1332" s="40"/>
      <x:c r="E1332" s="40"/>
      <x:c r="F1332" s="40"/>
      <x:c r="G1332" s="40"/>
      <x:c r="H1332" s="40"/>
    </x:row>
    <x:row r="1333">
      <x:c r="B1333" s="40"/>
      <x:c r="C1333" s="40"/>
      <x:c r="D1333" s="40"/>
      <x:c r="E1333" s="40"/>
      <x:c r="F1333" s="40"/>
      <x:c r="G1333" s="40"/>
      <x:c r="H1333" s="40"/>
    </x:row>
    <x:row r="1334">
      <x:c r="B1334" s="40"/>
      <x:c r="C1334" s="40"/>
      <x:c r="D1334" s="40"/>
      <x:c r="E1334" s="40"/>
      <x:c r="F1334" s="40"/>
      <x:c r="G1334" s="40"/>
      <x:c r="H1334" s="40"/>
    </x:row>
    <x:row r="1335">
      <x:c r="B1335" s="40"/>
      <x:c r="C1335" s="40"/>
      <x:c r="D1335" s="40"/>
      <x:c r="E1335" s="40"/>
      <x:c r="F1335" s="40"/>
      <x:c r="G1335" s="40"/>
      <x:c r="H1335" s="40"/>
    </x:row>
    <x:row r="1336">
      <x:c r="B1336" s="40"/>
      <x:c r="C1336" s="40"/>
      <x:c r="D1336" s="40"/>
      <x:c r="E1336" s="40"/>
      <x:c r="F1336" s="40"/>
      <x:c r="G1336" s="40"/>
      <x:c r="H1336" s="40"/>
    </x:row>
    <x:row r="1337">
      <x:c r="B1337" s="40"/>
      <x:c r="C1337" s="40"/>
      <x:c r="D1337" s="40"/>
      <x:c r="E1337" s="40"/>
      <x:c r="F1337" s="40"/>
      <x:c r="G1337" s="40"/>
      <x:c r="H1337" s="40"/>
    </x:row>
    <x:row r="1338">
      <x:c r="B1338" s="40"/>
      <x:c r="C1338" s="40"/>
      <x:c r="D1338" s="40"/>
      <x:c r="E1338" s="40"/>
      <x:c r="F1338" s="40"/>
      <x:c r="G1338" s="40"/>
      <x:c r="H1338" s="40"/>
    </x:row>
    <x:row r="1339">
      <x:c r="B1339" s="40"/>
      <x:c r="C1339" s="40"/>
      <x:c r="D1339" s="40"/>
      <x:c r="E1339" s="40"/>
      <x:c r="F1339" s="40"/>
      <x:c r="G1339" s="40"/>
      <x:c r="H1339" s="40"/>
    </x:row>
    <x:row r="1340">
      <x:c r="B1340" s="40"/>
      <x:c r="C1340" s="40"/>
      <x:c r="D1340" s="40"/>
      <x:c r="E1340" s="40"/>
      <x:c r="F1340" s="40"/>
      <x:c r="G1340" s="40"/>
      <x:c r="H1340" s="40"/>
    </x:row>
    <x:row r="1341">
      <x:c r="B1341" s="40"/>
      <x:c r="C1341" s="40"/>
      <x:c r="D1341" s="40"/>
      <x:c r="E1341" s="40"/>
      <x:c r="F1341" s="40"/>
      <x:c r="G1341" s="40"/>
      <x:c r="H1341" s="40"/>
    </x:row>
    <x:row r="1342">
      <x:c r="B1342" s="40"/>
      <x:c r="C1342" s="40"/>
      <x:c r="D1342" s="40"/>
      <x:c r="E1342" s="40"/>
      <x:c r="F1342" s="40"/>
      <x:c r="G1342" s="40"/>
      <x:c r="H1342" s="40"/>
    </x:row>
    <x:row r="1343">
      <x:c r="B1343" s="40"/>
      <x:c r="C1343" s="40"/>
      <x:c r="D1343" s="40"/>
      <x:c r="E1343" s="40"/>
      <x:c r="F1343" s="40"/>
      <x:c r="G1343" s="40"/>
      <x:c r="H1343" s="40"/>
    </x:row>
    <x:row r="1344">
      <x:c r="B1344" s="40"/>
      <x:c r="C1344" s="40"/>
      <x:c r="D1344" s="40"/>
      <x:c r="E1344" s="40"/>
      <x:c r="F1344" s="40"/>
      <x:c r="G1344" s="40"/>
      <x:c r="H1344" s="40"/>
    </x:row>
    <x:row r="1345">
      <x:c r="B1345" s="40"/>
      <x:c r="C1345" s="40"/>
      <x:c r="D1345" s="40"/>
      <x:c r="E1345" s="40"/>
      <x:c r="F1345" s="40"/>
      <x:c r="G1345" s="40"/>
      <x:c r="H1345" s="40"/>
    </x:row>
    <x:row r="1346">
      <x:c r="B1346" s="40"/>
      <x:c r="C1346" s="40"/>
      <x:c r="D1346" s="40"/>
      <x:c r="E1346" s="40"/>
      <x:c r="F1346" s="40"/>
      <x:c r="G1346" s="40"/>
      <x:c r="H1346" s="40"/>
    </x:row>
    <x:row r="1347">
      <x:c r="B1347" s="40"/>
      <x:c r="C1347" s="40"/>
      <x:c r="D1347" s="40"/>
      <x:c r="E1347" s="40"/>
      <x:c r="F1347" s="40"/>
      <x:c r="G1347" s="40"/>
      <x:c r="H1347" s="40"/>
    </x:row>
    <x:row r="1348">
      <x:c r="B1348" s="40"/>
      <x:c r="C1348" s="40"/>
      <x:c r="D1348" s="40"/>
      <x:c r="E1348" s="40"/>
      <x:c r="F1348" s="40"/>
      <x:c r="G1348" s="40"/>
      <x:c r="H1348" s="40"/>
    </x:row>
    <x:row r="1349">
      <x:c r="B1349" s="40"/>
      <x:c r="C1349" s="40"/>
      <x:c r="D1349" s="40"/>
      <x:c r="E1349" s="40"/>
      <x:c r="F1349" s="40"/>
      <x:c r="G1349" s="40"/>
      <x:c r="H1349" s="40"/>
    </x:row>
    <x:row r="1350">
      <x:c r="B1350" s="40"/>
      <x:c r="C1350" s="40"/>
      <x:c r="D1350" s="40"/>
      <x:c r="E1350" s="40"/>
      <x:c r="F1350" s="40"/>
      <x:c r="G1350" s="40"/>
      <x:c r="H1350" s="40"/>
    </x:row>
    <x:row r="1351">
      <x:c r="B1351" s="40"/>
      <x:c r="C1351" s="40"/>
      <x:c r="D1351" s="40"/>
      <x:c r="E1351" s="40"/>
      <x:c r="F1351" s="40"/>
      <x:c r="G1351" s="40"/>
      <x:c r="H1351" s="40"/>
    </x:row>
    <x:row r="1352">
      <x:c r="B1352" s="40"/>
      <x:c r="C1352" s="40"/>
      <x:c r="D1352" s="40"/>
      <x:c r="E1352" s="40"/>
      <x:c r="F1352" s="40"/>
      <x:c r="G1352" s="40"/>
      <x:c r="H1352" s="40"/>
    </x:row>
    <x:row r="1353">
      <x:c r="B1353" s="40"/>
      <x:c r="C1353" s="40"/>
      <x:c r="D1353" s="40"/>
      <x:c r="E1353" s="40"/>
      <x:c r="F1353" s="40"/>
      <x:c r="G1353" s="40"/>
      <x:c r="H1353" s="40"/>
    </x:row>
    <x:row r="1354">
      <x:c r="B1354" s="40"/>
      <x:c r="C1354" s="40"/>
      <x:c r="D1354" s="40"/>
      <x:c r="E1354" s="40"/>
      <x:c r="F1354" s="40"/>
      <x:c r="G1354" s="40"/>
      <x:c r="H1354" s="40"/>
    </x:row>
    <x:row r="1355">
      <x:c r="B1355" s="40"/>
      <x:c r="C1355" s="40"/>
      <x:c r="D1355" s="40"/>
      <x:c r="E1355" s="40"/>
      <x:c r="F1355" s="40"/>
      <x:c r="G1355" s="40"/>
      <x:c r="H1355" s="40"/>
    </x:row>
    <x:row r="1356">
      <x:c r="B1356" s="40"/>
      <x:c r="C1356" s="40"/>
      <x:c r="D1356" s="40"/>
      <x:c r="E1356" s="40"/>
      <x:c r="F1356" s="40"/>
      <x:c r="G1356" s="40"/>
      <x:c r="H1356" s="40"/>
    </x:row>
    <x:row r="1357">
      <x:c r="B1357" s="40"/>
      <x:c r="C1357" s="40"/>
      <x:c r="D1357" s="40"/>
      <x:c r="E1357" s="40"/>
      <x:c r="F1357" s="40"/>
      <x:c r="G1357" s="40"/>
      <x:c r="H1357" s="40"/>
    </x:row>
    <x:row r="1358">
      <x:c r="B1358" s="40"/>
      <x:c r="C1358" s="40"/>
      <x:c r="D1358" s="40"/>
      <x:c r="E1358" s="40"/>
      <x:c r="F1358" s="40"/>
      <x:c r="G1358" s="40"/>
      <x:c r="H1358" s="40"/>
    </x:row>
    <x:row r="1359">
      <x:c r="B1359" s="40"/>
      <x:c r="C1359" s="40"/>
      <x:c r="D1359" s="40"/>
      <x:c r="E1359" s="40"/>
      <x:c r="F1359" s="40"/>
      <x:c r="G1359" s="40"/>
      <x:c r="H1359" s="40"/>
    </x:row>
    <x:row r="1360">
      <x:c r="B1360" s="40"/>
      <x:c r="C1360" s="40"/>
      <x:c r="D1360" s="40"/>
      <x:c r="E1360" s="40"/>
      <x:c r="F1360" s="40"/>
      <x:c r="G1360" s="40"/>
      <x:c r="H1360" s="40"/>
    </x:row>
    <x:row r="1361">
      <x:c r="B1361" s="40"/>
      <x:c r="C1361" s="40"/>
      <x:c r="D1361" s="40"/>
      <x:c r="E1361" s="40"/>
      <x:c r="F1361" s="40"/>
      <x:c r="G1361" s="40"/>
      <x:c r="H1361" s="40"/>
    </x:row>
    <x:row r="1362">
      <x:c r="B1362" s="40"/>
      <x:c r="C1362" s="40"/>
      <x:c r="D1362" s="40"/>
      <x:c r="E1362" s="40"/>
      <x:c r="F1362" s="40"/>
      <x:c r="G1362" s="40"/>
      <x:c r="H1362" s="40"/>
    </x:row>
    <x:row r="1363">
      <x:c r="B1363" s="40"/>
      <x:c r="C1363" s="40"/>
      <x:c r="D1363" s="40"/>
      <x:c r="E1363" s="40"/>
      <x:c r="F1363" s="40"/>
      <x:c r="G1363" s="40"/>
      <x:c r="H1363" s="40"/>
    </x:row>
    <x:row r="1364">
      <x:c r="B1364" s="40"/>
      <x:c r="C1364" s="40"/>
      <x:c r="D1364" s="40"/>
      <x:c r="E1364" s="40"/>
      <x:c r="F1364" s="40"/>
      <x:c r="G1364" s="40"/>
      <x:c r="H1364" s="40"/>
    </x:row>
    <x:row r="1365">
      <x:c r="B1365" s="40"/>
      <x:c r="C1365" s="40"/>
      <x:c r="D1365" s="40"/>
      <x:c r="E1365" s="40"/>
      <x:c r="F1365" s="40"/>
      <x:c r="G1365" s="40"/>
      <x:c r="H1365" s="40"/>
    </x:row>
    <x:row r="1366">
      <x:c r="B1366" s="40"/>
      <x:c r="C1366" s="40"/>
      <x:c r="D1366" s="40"/>
      <x:c r="E1366" s="40"/>
      <x:c r="F1366" s="40"/>
      <x:c r="G1366" s="40"/>
      <x:c r="H1366" s="40"/>
    </x:row>
    <x:row r="1367">
      <x:c r="B1367" s="40"/>
      <x:c r="C1367" s="40"/>
      <x:c r="D1367" s="40"/>
      <x:c r="E1367" s="40"/>
      <x:c r="F1367" s="40"/>
      <x:c r="G1367" s="40"/>
      <x:c r="H1367" s="40"/>
    </x:row>
    <x:row r="1368">
      <x:c r="B1368" s="40"/>
      <x:c r="C1368" s="40"/>
      <x:c r="D1368" s="40"/>
      <x:c r="E1368" s="40"/>
      <x:c r="F1368" s="40"/>
      <x:c r="G1368" s="40"/>
      <x:c r="H1368" s="40"/>
    </x:row>
    <x:row r="1369">
      <x:c r="B1369" s="40"/>
      <x:c r="C1369" s="40"/>
      <x:c r="D1369" s="40"/>
      <x:c r="E1369" s="40"/>
      <x:c r="F1369" s="40"/>
      <x:c r="G1369" s="40"/>
      <x:c r="H1369" s="40"/>
    </x:row>
    <x:row r="1370">
      <x:c r="B1370" s="40"/>
      <x:c r="C1370" s="40"/>
      <x:c r="D1370" s="40"/>
      <x:c r="E1370" s="40"/>
      <x:c r="F1370" s="40"/>
      <x:c r="G1370" s="40"/>
      <x:c r="H1370" s="40"/>
    </x:row>
    <x:row r="1371">
      <x:c r="B1371" s="40"/>
      <x:c r="C1371" s="40"/>
      <x:c r="D1371" s="40"/>
      <x:c r="E1371" s="40"/>
      <x:c r="F1371" s="40"/>
      <x:c r="G1371" s="40"/>
      <x:c r="H1371" s="40"/>
    </x:row>
    <x:row r="1372">
      <x:c r="B1372" s="40"/>
      <x:c r="C1372" s="40"/>
      <x:c r="D1372" s="40"/>
      <x:c r="E1372" s="40"/>
      <x:c r="F1372" s="40"/>
      <x:c r="G1372" s="40"/>
      <x:c r="H1372" s="40"/>
    </x:row>
    <x:row r="1373">
      <x:c r="B1373" s="40"/>
      <x:c r="C1373" s="40"/>
      <x:c r="D1373" s="40"/>
      <x:c r="E1373" s="40"/>
      <x:c r="F1373" s="40"/>
      <x:c r="G1373" s="40"/>
      <x:c r="H1373" s="40"/>
    </x:row>
    <x:row r="1374">
      <x:c r="B1374" s="40"/>
      <x:c r="C1374" s="40"/>
      <x:c r="D1374" s="40"/>
      <x:c r="E1374" s="40"/>
      <x:c r="F1374" s="40"/>
      <x:c r="G1374" s="40"/>
      <x:c r="H1374" s="40"/>
    </x:row>
    <x:row r="1375">
      <x:c r="B1375" s="40"/>
      <x:c r="C1375" s="40"/>
      <x:c r="D1375" s="40"/>
      <x:c r="E1375" s="40"/>
      <x:c r="F1375" s="40"/>
      <x:c r="G1375" s="40"/>
      <x:c r="H1375" s="40"/>
    </x:row>
    <x:row r="1376">
      <x:c r="B1376" s="40"/>
      <x:c r="C1376" s="40"/>
      <x:c r="D1376" s="40"/>
      <x:c r="E1376" s="40"/>
      <x:c r="F1376" s="40"/>
      <x:c r="G1376" s="40"/>
      <x:c r="H1376" s="40"/>
    </x:row>
    <x:row r="1377">
      <x:c r="B1377" s="40"/>
      <x:c r="C1377" s="40"/>
      <x:c r="D1377" s="40"/>
      <x:c r="E1377" s="40"/>
      <x:c r="F1377" s="40"/>
      <x:c r="G1377" s="40"/>
      <x:c r="H1377" s="40"/>
    </x:row>
    <x:row r="1378">
      <x:c r="B1378" s="40"/>
      <x:c r="C1378" s="40"/>
      <x:c r="D1378" s="40"/>
      <x:c r="E1378" s="40"/>
      <x:c r="F1378" s="40"/>
      <x:c r="G1378" s="40"/>
      <x:c r="H1378" s="40"/>
    </x:row>
    <x:row r="1379">
      <x:c r="B1379" s="40"/>
      <x:c r="C1379" s="40"/>
      <x:c r="D1379" s="40"/>
      <x:c r="E1379" s="40"/>
      <x:c r="F1379" s="40"/>
      <x:c r="G1379" s="40"/>
      <x:c r="H1379" s="40"/>
    </x:row>
    <x:row r="1380">
      <x:c r="B1380" s="40"/>
      <x:c r="C1380" s="40"/>
      <x:c r="D1380" s="40"/>
      <x:c r="E1380" s="40"/>
      <x:c r="F1380" s="40"/>
      <x:c r="G1380" s="40"/>
      <x:c r="H1380" s="40"/>
    </x:row>
    <x:row r="1381">
      <x:c r="B1381" s="40"/>
      <x:c r="C1381" s="40"/>
      <x:c r="D1381" s="40"/>
      <x:c r="E1381" s="40"/>
      <x:c r="F1381" s="40"/>
      <x:c r="G1381" s="40"/>
      <x:c r="H1381" s="40"/>
    </x:row>
    <x:row r="1382">
      <x:c r="B1382" s="40"/>
      <x:c r="C1382" s="40"/>
      <x:c r="D1382" s="40"/>
      <x:c r="E1382" s="40"/>
      <x:c r="F1382" s="40"/>
      <x:c r="G1382" s="40"/>
      <x:c r="H1382" s="40"/>
    </x:row>
    <x:row r="1383">
      <x:c r="B1383" s="40"/>
      <x:c r="C1383" s="40"/>
      <x:c r="D1383" s="40"/>
      <x:c r="E1383" s="40"/>
      <x:c r="F1383" s="40"/>
      <x:c r="G1383" s="40"/>
      <x:c r="H1383" s="40"/>
    </x:row>
    <x:row r="1384">
      <x:c r="B1384" s="40"/>
      <x:c r="C1384" s="40"/>
      <x:c r="D1384" s="40"/>
      <x:c r="E1384" s="40"/>
      <x:c r="F1384" s="40"/>
      <x:c r="G1384" s="40"/>
      <x:c r="H1384" s="40"/>
    </x:row>
    <x:row r="1385">
      <x:c r="B1385" s="40"/>
      <x:c r="C1385" s="40"/>
      <x:c r="D1385" s="40"/>
      <x:c r="E1385" s="40"/>
      <x:c r="F1385" s="40"/>
      <x:c r="G1385" s="40"/>
      <x:c r="H1385" s="40"/>
    </x:row>
    <x:row r="1386">
      <x:c r="B1386" s="40"/>
      <x:c r="C1386" s="40"/>
      <x:c r="D1386" s="40"/>
      <x:c r="E1386" s="40"/>
      <x:c r="F1386" s="40"/>
      <x:c r="G1386" s="40"/>
      <x:c r="H1386" s="40"/>
    </x:row>
    <x:row r="1387">
      <x:c r="B1387" s="40"/>
      <x:c r="C1387" s="40"/>
      <x:c r="D1387" s="40"/>
      <x:c r="E1387" s="40"/>
      <x:c r="F1387" s="40"/>
      <x:c r="G1387" s="40"/>
      <x:c r="H1387" s="40"/>
    </x:row>
    <x:row r="1388">
      <x:c r="B1388" s="40"/>
      <x:c r="C1388" s="40"/>
      <x:c r="D1388" s="40"/>
      <x:c r="E1388" s="40"/>
      <x:c r="F1388" s="40"/>
      <x:c r="G1388" s="40"/>
      <x:c r="H1388" s="40"/>
    </x:row>
    <x:row r="1389">
      <x:c r="B1389" s="40"/>
      <x:c r="C1389" s="40"/>
      <x:c r="D1389" s="40"/>
      <x:c r="E1389" s="40"/>
      <x:c r="F1389" s="40"/>
      <x:c r="G1389" s="40"/>
      <x:c r="H1389" s="40"/>
    </x:row>
    <x:row r="1390">
      <x:c r="B1390" s="40"/>
      <x:c r="C1390" s="40"/>
      <x:c r="D1390" s="40"/>
      <x:c r="E1390" s="40"/>
      <x:c r="F1390" s="40"/>
      <x:c r="G1390" s="40"/>
      <x:c r="H1390" s="40"/>
    </x:row>
    <x:row r="1391">
      <x:c r="B1391" s="40"/>
      <x:c r="C1391" s="40"/>
      <x:c r="D1391" s="40"/>
      <x:c r="E1391" s="40"/>
      <x:c r="F1391" s="40"/>
      <x:c r="G1391" s="40"/>
      <x:c r="H1391" s="40"/>
    </x:row>
    <x:row r="1392">
      <x:c r="B1392" s="40"/>
      <x:c r="C1392" s="40"/>
      <x:c r="D1392" s="40"/>
      <x:c r="E1392" s="40"/>
      <x:c r="F1392" s="40"/>
      <x:c r="G1392" s="40"/>
      <x:c r="H1392" s="40"/>
    </x:row>
    <x:row r="1393">
      <x:c r="B1393" s="40"/>
      <x:c r="C1393" s="40"/>
      <x:c r="D1393" s="40"/>
      <x:c r="E1393" s="40"/>
      <x:c r="F1393" s="40"/>
      <x:c r="G1393" s="40"/>
      <x:c r="H1393" s="40"/>
    </x:row>
    <x:row r="1394">
      <x:c r="B1394" s="40"/>
      <x:c r="C1394" s="40"/>
      <x:c r="D1394" s="40"/>
      <x:c r="E1394" s="40"/>
      <x:c r="F1394" s="40"/>
      <x:c r="G1394" s="40"/>
      <x:c r="H1394" s="40"/>
    </x:row>
    <x:row r="1395">
      <x:c r="B1395" s="40"/>
      <x:c r="C1395" s="40"/>
      <x:c r="D1395" s="40"/>
      <x:c r="E1395" s="40"/>
      <x:c r="F1395" s="40"/>
      <x:c r="G1395" s="40"/>
      <x:c r="H1395" s="40"/>
    </x:row>
    <x:row r="1396">
      <x:c r="B1396" s="40"/>
      <x:c r="C1396" s="40"/>
      <x:c r="D1396" s="40"/>
      <x:c r="E1396" s="40"/>
      <x:c r="F1396" s="40"/>
      <x:c r="G1396" s="40"/>
      <x:c r="H1396" s="40"/>
    </x:row>
    <x:row r="1397">
      <x:c r="B1397" s="40"/>
      <x:c r="C1397" s="40"/>
      <x:c r="D1397" s="40"/>
      <x:c r="E1397" s="40"/>
      <x:c r="F1397" s="40"/>
      <x:c r="G1397" s="40"/>
      <x:c r="H1397" s="40"/>
    </x:row>
    <x:row r="1398">
      <x:c r="B1398" s="40"/>
      <x:c r="C1398" s="40"/>
      <x:c r="D1398" s="40"/>
      <x:c r="E1398" s="40"/>
      <x:c r="F1398" s="40"/>
      <x:c r="G1398" s="40"/>
      <x:c r="H1398" s="40"/>
    </x:row>
    <x:row r="1399">
      <x:c r="B1399" s="40"/>
      <x:c r="C1399" s="40"/>
      <x:c r="D1399" s="40"/>
      <x:c r="E1399" s="40"/>
      <x:c r="F1399" s="40"/>
      <x:c r="G1399" s="40"/>
      <x:c r="H1399" s="40"/>
    </x:row>
    <x:row r="1400">
      <x:c r="B1400" s="40"/>
      <x:c r="C1400" s="40"/>
      <x:c r="D1400" s="40"/>
      <x:c r="E1400" s="40"/>
      <x:c r="F1400" s="40"/>
      <x:c r="G1400" s="40"/>
      <x:c r="H1400" s="40"/>
    </x:row>
    <x:row r="1401">
      <x:c r="B1401" s="40"/>
      <x:c r="C1401" s="40"/>
      <x:c r="D1401" s="40"/>
      <x:c r="E1401" s="40"/>
      <x:c r="F1401" s="40"/>
      <x:c r="G1401" s="40"/>
      <x:c r="H1401" s="40"/>
    </x:row>
    <x:row r="1402">
      <x:c r="B1402" s="40"/>
      <x:c r="C1402" s="40"/>
      <x:c r="D1402" s="40"/>
      <x:c r="E1402" s="40"/>
      <x:c r="F1402" s="40"/>
      <x:c r="G1402" s="40"/>
      <x:c r="H1402" s="40"/>
    </x:row>
    <x:row r="1403">
      <x:c r="B1403" s="40"/>
      <x:c r="C1403" s="40"/>
      <x:c r="D1403" s="40"/>
      <x:c r="E1403" s="40"/>
      <x:c r="F1403" s="40"/>
      <x:c r="G1403" s="40"/>
      <x:c r="H1403" s="40"/>
    </x:row>
    <x:row r="1404">
      <x:c r="B1404" s="40"/>
      <x:c r="C1404" s="40"/>
      <x:c r="D1404" s="40"/>
      <x:c r="E1404" s="40"/>
      <x:c r="F1404" s="40"/>
      <x:c r="G1404" s="40"/>
      <x:c r="H1404" s="40"/>
    </x:row>
    <x:row r="1405">
      <x:c r="B1405" s="40"/>
      <x:c r="C1405" s="40"/>
      <x:c r="D1405" s="40"/>
      <x:c r="E1405" s="40"/>
      <x:c r="F1405" s="40"/>
      <x:c r="G1405" s="40"/>
      <x:c r="H1405" s="40"/>
    </x:row>
    <x:row r="1406">
      <x:c r="B1406" s="40"/>
      <x:c r="C1406" s="40"/>
      <x:c r="D1406" s="40"/>
      <x:c r="E1406" s="40"/>
      <x:c r="F1406" s="40"/>
      <x:c r="G1406" s="40"/>
      <x:c r="H1406" s="40"/>
    </x:row>
    <x:row r="1407">
      <x:c r="B1407" s="40"/>
      <x:c r="C1407" s="40"/>
      <x:c r="D1407" s="40"/>
      <x:c r="E1407" s="40"/>
      <x:c r="F1407" s="40"/>
      <x:c r="G1407" s="40"/>
      <x:c r="H1407" s="40"/>
    </x:row>
    <x:row r="1408">
      <x:c r="B1408" s="40"/>
      <x:c r="C1408" s="40"/>
      <x:c r="D1408" s="40"/>
      <x:c r="E1408" s="40"/>
      <x:c r="F1408" s="40"/>
      <x:c r="G1408" s="40"/>
      <x:c r="H1408" s="40"/>
    </x:row>
    <x:row r="1409">
      <x:c r="B1409" s="40"/>
      <x:c r="C1409" s="40"/>
      <x:c r="D1409" s="40"/>
      <x:c r="E1409" s="40"/>
      <x:c r="F1409" s="40"/>
      <x:c r="G1409" s="40"/>
      <x:c r="H1409" s="40"/>
    </x:row>
    <x:row r="1410">
      <x:c r="B1410" s="40"/>
      <x:c r="C1410" s="40"/>
      <x:c r="D1410" s="40"/>
      <x:c r="E1410" s="40"/>
      <x:c r="F1410" s="40"/>
      <x:c r="G1410" s="40"/>
      <x:c r="H1410" s="40"/>
    </x:row>
    <x:row r="1411">
      <x:c r="B1411" s="40"/>
      <x:c r="C1411" s="40"/>
      <x:c r="D1411" s="40"/>
      <x:c r="E1411" s="40"/>
      <x:c r="F1411" s="40"/>
      <x:c r="G1411" s="40"/>
      <x:c r="H1411" s="40"/>
    </x:row>
    <x:row r="1412">
      <x:c r="B1412" s="40"/>
      <x:c r="C1412" s="40"/>
      <x:c r="D1412" s="40"/>
      <x:c r="E1412" s="40"/>
      <x:c r="F1412" s="40"/>
      <x:c r="G1412" s="40"/>
      <x:c r="H1412" s="40"/>
    </x:row>
    <x:row r="1413">
      <x:c r="B1413" s="40"/>
      <x:c r="C1413" s="40"/>
      <x:c r="D1413" s="40"/>
      <x:c r="E1413" s="40"/>
      <x:c r="F1413" s="40"/>
      <x:c r="G1413" s="40"/>
      <x:c r="H1413" s="40"/>
    </x:row>
    <x:row r="1414">
      <x:c r="B1414" s="40"/>
      <x:c r="C1414" s="40"/>
      <x:c r="D1414" s="40"/>
      <x:c r="E1414" s="40"/>
      <x:c r="F1414" s="40"/>
      <x:c r="G1414" s="40"/>
      <x:c r="H1414" s="40"/>
    </x:row>
    <x:row r="1415">
      <x:c r="B1415" s="40"/>
      <x:c r="C1415" s="40"/>
      <x:c r="D1415" s="40"/>
      <x:c r="E1415" s="40"/>
      <x:c r="F1415" s="40"/>
      <x:c r="G1415" s="40"/>
      <x:c r="H1415" s="40"/>
    </x:row>
    <x:row r="1416">
      <x:c r="B1416" s="40"/>
      <x:c r="C1416" s="40"/>
      <x:c r="D1416" s="40"/>
      <x:c r="E1416" s="40"/>
      <x:c r="F1416" s="40"/>
      <x:c r="G1416" s="40"/>
      <x:c r="H1416" s="40"/>
    </x:row>
    <x:row r="1417">
      <x:c r="B1417" s="40"/>
      <x:c r="C1417" s="40"/>
      <x:c r="D1417" s="40"/>
      <x:c r="E1417" s="40"/>
      <x:c r="F1417" s="40"/>
      <x:c r="G1417" s="40"/>
      <x:c r="H1417" s="40"/>
    </x:row>
    <x:row r="1418">
      <x:c r="B1418" s="40"/>
      <x:c r="C1418" s="40"/>
      <x:c r="D1418" s="40"/>
      <x:c r="E1418" s="40"/>
      <x:c r="F1418" s="40"/>
      <x:c r="G1418" s="40"/>
      <x:c r="H1418" s="40"/>
    </x:row>
    <x:row r="1419">
      <x:c r="B1419" s="40"/>
      <x:c r="C1419" s="40"/>
      <x:c r="D1419" s="40"/>
      <x:c r="E1419" s="40"/>
      <x:c r="F1419" s="40"/>
      <x:c r="G1419" s="40"/>
      <x:c r="H1419" s="40"/>
    </x:row>
    <x:row r="1420">
      <x:c r="B1420" s="40"/>
      <x:c r="C1420" s="40"/>
      <x:c r="D1420" s="40"/>
      <x:c r="E1420" s="40"/>
      <x:c r="F1420" s="40"/>
      <x:c r="G1420" s="40"/>
      <x:c r="H1420" s="40"/>
    </x:row>
    <x:row r="1421">
      <x:c r="B1421" s="40"/>
      <x:c r="C1421" s="40"/>
      <x:c r="D1421" s="40"/>
      <x:c r="E1421" s="40"/>
      <x:c r="F1421" s="40"/>
      <x:c r="G1421" s="40"/>
      <x:c r="H1421" s="40"/>
    </x:row>
    <x:row r="1422">
      <x:c r="B1422" s="40"/>
      <x:c r="C1422" s="40"/>
      <x:c r="D1422" s="40"/>
      <x:c r="E1422" s="40"/>
      <x:c r="F1422" s="40"/>
      <x:c r="G1422" s="40"/>
      <x:c r="H1422" s="40"/>
    </x:row>
    <x:row r="1423">
      <x:c r="B1423" s="40"/>
      <x:c r="C1423" s="40"/>
      <x:c r="D1423" s="40"/>
      <x:c r="E1423" s="40"/>
      <x:c r="F1423" s="40"/>
      <x:c r="G1423" s="40"/>
      <x:c r="H1423" s="40"/>
    </x:row>
    <x:row r="1424">
      <x:c r="B1424" s="40"/>
      <x:c r="C1424" s="40"/>
      <x:c r="D1424" s="40"/>
      <x:c r="E1424" s="40"/>
      <x:c r="F1424" s="40"/>
      <x:c r="G1424" s="40"/>
      <x:c r="H1424" s="40"/>
    </x:row>
    <x:row r="1425">
      <x:c r="B1425" s="40"/>
      <x:c r="C1425" s="40"/>
      <x:c r="D1425" s="40"/>
      <x:c r="E1425" s="40"/>
      <x:c r="F1425" s="40"/>
      <x:c r="G1425" s="40"/>
      <x:c r="H1425" s="40"/>
    </x:row>
    <x:row r="1426">
      <x:c r="B1426" s="40"/>
      <x:c r="C1426" s="40"/>
      <x:c r="D1426" s="40"/>
      <x:c r="E1426" s="40"/>
      <x:c r="F1426" s="40"/>
      <x:c r="G1426" s="40"/>
      <x:c r="H1426" s="40"/>
    </x:row>
    <x:row r="1427">
      <x:c r="B1427" s="40"/>
      <x:c r="C1427" s="40"/>
      <x:c r="D1427" s="40"/>
      <x:c r="E1427" s="40"/>
      <x:c r="F1427" s="40"/>
      <x:c r="G1427" s="40"/>
      <x:c r="H1427" s="40"/>
    </x:row>
    <x:row r="1428">
      <x:c r="B1428" s="40"/>
      <x:c r="C1428" s="40"/>
      <x:c r="D1428" s="40"/>
      <x:c r="E1428" s="40"/>
      <x:c r="F1428" s="40"/>
      <x:c r="G1428" s="40"/>
      <x:c r="H1428" s="40"/>
    </x:row>
    <x:row r="1429">
      <x:c r="B1429" s="40"/>
      <x:c r="C1429" s="40"/>
      <x:c r="D1429" s="40"/>
      <x:c r="E1429" s="40"/>
      <x:c r="F1429" s="40"/>
      <x:c r="G1429" s="40"/>
      <x:c r="H1429" s="40"/>
    </x:row>
    <x:row r="1430">
      <x:c r="B1430" s="40"/>
      <x:c r="C1430" s="40"/>
      <x:c r="D1430" s="40"/>
      <x:c r="E1430" s="40"/>
      <x:c r="F1430" s="40"/>
      <x:c r="G1430" s="40"/>
      <x:c r="H1430" s="40"/>
    </x:row>
    <x:row r="1431">
      <x:c r="B1431" s="40"/>
      <x:c r="C1431" s="40"/>
      <x:c r="D1431" s="40"/>
      <x:c r="E1431" s="40"/>
      <x:c r="F1431" s="40"/>
      <x:c r="G1431" s="40"/>
      <x:c r="H1431" s="40"/>
    </x:row>
    <x:row r="1432">
      <x:c r="B1432" s="40"/>
      <x:c r="C1432" s="40"/>
      <x:c r="D1432" s="40"/>
      <x:c r="E1432" s="40"/>
      <x:c r="F1432" s="40"/>
      <x:c r="G1432" s="40"/>
      <x:c r="H1432" s="40"/>
    </x:row>
    <x:row r="1433">
      <x:c r="B1433" s="40"/>
      <x:c r="C1433" s="40"/>
      <x:c r="D1433" s="40"/>
      <x:c r="E1433" s="40"/>
      <x:c r="F1433" s="40"/>
      <x:c r="G1433" s="40"/>
      <x:c r="H1433" s="40"/>
    </x:row>
    <x:row r="1434">
      <x:c r="B1434" s="40"/>
      <x:c r="C1434" s="40"/>
      <x:c r="D1434" s="40"/>
      <x:c r="E1434" s="40"/>
      <x:c r="F1434" s="40"/>
      <x:c r="G1434" s="40"/>
      <x:c r="H1434" s="40"/>
    </x:row>
    <x:row r="1435">
      <x:c r="B1435" s="40"/>
      <x:c r="C1435" s="40"/>
      <x:c r="D1435" s="40"/>
      <x:c r="E1435" s="40"/>
      <x:c r="F1435" s="40"/>
      <x:c r="G1435" s="40"/>
      <x:c r="H1435" s="40"/>
    </x:row>
    <x:row r="1436">
      <x:c r="B1436" s="40"/>
      <x:c r="C1436" s="40"/>
      <x:c r="D1436" s="40"/>
      <x:c r="E1436" s="40"/>
      <x:c r="F1436" s="40"/>
      <x:c r="G1436" s="40"/>
      <x:c r="H1436" s="40"/>
    </x:row>
    <x:row r="1437">
      <x:c r="B1437" s="40"/>
      <x:c r="C1437" s="40"/>
      <x:c r="D1437" s="40"/>
      <x:c r="E1437" s="40"/>
      <x:c r="F1437" s="40"/>
      <x:c r="G1437" s="40"/>
      <x:c r="H1437" s="40"/>
    </x:row>
    <x:row r="1438">
      <x:c r="B1438" s="40"/>
      <x:c r="C1438" s="40"/>
      <x:c r="D1438" s="40"/>
      <x:c r="E1438" s="40"/>
      <x:c r="F1438" s="40"/>
      <x:c r="G1438" s="40"/>
      <x:c r="H1438" s="40"/>
    </x:row>
    <x:row r="1439">
      <x:c r="B1439" s="40"/>
      <x:c r="C1439" s="40"/>
      <x:c r="D1439" s="40"/>
      <x:c r="E1439" s="40"/>
      <x:c r="F1439" s="40"/>
      <x:c r="G1439" s="40"/>
      <x:c r="H1439" s="40"/>
    </x:row>
    <x:row r="1440">
      <x:c r="B1440" s="40"/>
      <x:c r="C1440" s="40"/>
      <x:c r="D1440" s="40"/>
      <x:c r="E1440" s="40"/>
      <x:c r="F1440" s="40"/>
      <x:c r="G1440" s="40"/>
      <x:c r="H1440" s="40"/>
    </x:row>
    <x:row r="1441">
      <x:c r="B1441" s="40"/>
      <x:c r="C1441" s="40"/>
      <x:c r="D1441" s="40"/>
      <x:c r="E1441" s="40"/>
      <x:c r="F1441" s="40"/>
      <x:c r="G1441" s="40"/>
      <x:c r="H1441" s="40"/>
    </x:row>
    <x:row r="1442">
      <x:c r="B1442" s="40"/>
      <x:c r="C1442" s="40"/>
      <x:c r="D1442" s="40"/>
      <x:c r="E1442" s="40"/>
      <x:c r="F1442" s="40"/>
      <x:c r="G1442" s="40"/>
      <x:c r="H1442" s="40"/>
    </x:row>
    <x:row r="1443">
      <x:c r="B1443" s="40"/>
      <x:c r="C1443" s="40"/>
      <x:c r="D1443" s="40"/>
      <x:c r="E1443" s="40"/>
      <x:c r="F1443" s="40"/>
      <x:c r="G1443" s="40"/>
      <x:c r="H1443" s="40"/>
    </x:row>
    <x:row r="1444">
      <x:c r="B1444" s="40"/>
      <x:c r="C1444" s="40"/>
      <x:c r="D1444" s="40"/>
      <x:c r="E1444" s="40"/>
      <x:c r="F1444" s="40"/>
      <x:c r="G1444" s="40"/>
      <x:c r="H1444" s="40"/>
    </x:row>
    <x:row r="1445">
      <x:c r="B1445" s="40"/>
      <x:c r="C1445" s="40"/>
      <x:c r="D1445" s="40"/>
      <x:c r="E1445" s="40"/>
      <x:c r="F1445" s="40"/>
      <x:c r="G1445" s="40"/>
      <x:c r="H1445" s="40"/>
    </x:row>
    <x:row r="1446">
      <x:c r="B1446" s="40"/>
      <x:c r="C1446" s="40"/>
      <x:c r="D1446" s="40"/>
      <x:c r="E1446" s="40"/>
      <x:c r="F1446" s="40"/>
      <x:c r="G1446" s="40"/>
      <x:c r="H1446" s="40"/>
    </x:row>
    <x:row r="1447">
      <x:c r="B1447" s="40"/>
      <x:c r="C1447" s="40"/>
      <x:c r="D1447" s="40"/>
      <x:c r="E1447" s="40"/>
      <x:c r="F1447" s="40"/>
      <x:c r="G1447" s="40"/>
      <x:c r="H1447" s="40"/>
    </x:row>
    <x:row r="1448">
      <x:c r="B1448" s="40"/>
      <x:c r="C1448" s="40"/>
      <x:c r="D1448" s="40"/>
      <x:c r="E1448" s="40"/>
      <x:c r="F1448" s="40"/>
      <x:c r="G1448" s="40"/>
      <x:c r="H1448" s="40"/>
    </x:row>
    <x:row r="1449">
      <x:c r="B1449" s="40"/>
      <x:c r="C1449" s="40"/>
      <x:c r="D1449" s="40"/>
      <x:c r="E1449" s="40"/>
      <x:c r="F1449" s="40"/>
      <x:c r="G1449" s="40"/>
      <x:c r="H1449" s="40"/>
    </x:row>
    <x:row r="1450">
      <x:c r="B1450" s="40"/>
      <x:c r="C1450" s="40"/>
      <x:c r="D1450" s="40"/>
      <x:c r="E1450" s="40"/>
      <x:c r="F1450" s="40"/>
      <x:c r="G1450" s="40"/>
      <x:c r="H1450" s="40"/>
    </x:row>
    <x:row r="1451">
      <x:c r="B1451" s="40"/>
      <x:c r="C1451" s="40"/>
      <x:c r="D1451" s="40"/>
      <x:c r="E1451" s="40"/>
      <x:c r="F1451" s="40"/>
      <x:c r="G1451" s="40"/>
      <x:c r="H1451" s="40"/>
    </x:row>
    <x:row r="1452">
      <x:c r="B1452" s="40"/>
      <x:c r="C1452" s="40"/>
      <x:c r="D1452" s="40"/>
      <x:c r="E1452" s="40"/>
      <x:c r="F1452" s="40"/>
      <x:c r="G1452" s="40"/>
      <x:c r="H1452" s="40"/>
    </x:row>
    <x:row r="1453">
      <x:c r="B1453" s="40"/>
      <x:c r="C1453" s="40"/>
      <x:c r="D1453" s="40"/>
      <x:c r="E1453" s="40"/>
      <x:c r="F1453" s="40"/>
      <x:c r="G1453" s="40"/>
      <x:c r="H1453" s="40"/>
    </x:row>
    <x:row r="1454">
      <x:c r="B1454" s="40"/>
      <x:c r="C1454" s="40"/>
      <x:c r="D1454" s="40"/>
      <x:c r="E1454" s="40"/>
      <x:c r="F1454" s="40"/>
      <x:c r="G1454" s="40"/>
      <x:c r="H1454" s="40"/>
    </x:row>
    <x:row r="1455">
      <x:c r="B1455" s="40"/>
      <x:c r="C1455" s="40"/>
      <x:c r="D1455" s="40"/>
      <x:c r="E1455" s="40"/>
      <x:c r="F1455" s="40"/>
      <x:c r="G1455" s="40"/>
      <x:c r="H1455" s="40"/>
    </x:row>
    <x:row r="1456">
      <x:c r="B1456" s="40"/>
      <x:c r="C1456" s="40"/>
      <x:c r="D1456" s="40"/>
      <x:c r="E1456" s="40"/>
      <x:c r="F1456" s="40"/>
      <x:c r="G1456" s="40"/>
      <x:c r="H1456" s="40"/>
    </x:row>
    <x:row r="1457">
      <x:c r="B1457" s="40"/>
      <x:c r="C1457" s="40"/>
      <x:c r="D1457" s="40"/>
      <x:c r="E1457" s="40"/>
      <x:c r="F1457" s="40"/>
      <x:c r="G1457" s="40"/>
      <x:c r="H1457" s="40"/>
    </x:row>
    <x:row r="1458">
      <x:c r="B1458" s="40"/>
      <x:c r="C1458" s="40"/>
      <x:c r="D1458" s="40"/>
      <x:c r="E1458" s="40"/>
      <x:c r="F1458" s="40"/>
      <x:c r="G1458" s="40"/>
      <x:c r="H1458" s="40"/>
    </x:row>
    <x:row r="1459">
      <x:c r="B1459" s="40"/>
      <x:c r="C1459" s="40"/>
      <x:c r="D1459" s="40"/>
      <x:c r="E1459" s="40"/>
      <x:c r="F1459" s="40"/>
      <x:c r="G1459" s="40"/>
      <x:c r="H1459" s="40"/>
    </x:row>
    <x:row r="1460">
      <x:c r="B1460" s="40"/>
      <x:c r="C1460" s="40"/>
      <x:c r="D1460" s="40"/>
      <x:c r="E1460" s="40"/>
      <x:c r="F1460" s="40"/>
      <x:c r="G1460" s="40"/>
      <x:c r="H1460" s="40"/>
    </x:row>
    <x:row r="1461">
      <x:c r="B1461" s="40"/>
      <x:c r="C1461" s="40"/>
      <x:c r="D1461" s="40"/>
      <x:c r="E1461" s="40"/>
      <x:c r="F1461" s="40"/>
      <x:c r="G1461" s="40"/>
      <x:c r="H1461" s="40"/>
    </x:row>
    <x:row r="1462">
      <x:c r="B1462" s="40"/>
      <x:c r="C1462" s="40"/>
      <x:c r="D1462" s="40"/>
      <x:c r="E1462" s="40"/>
      <x:c r="F1462" s="40"/>
      <x:c r="G1462" s="40"/>
      <x:c r="H1462" s="40"/>
    </x:row>
    <x:row r="1463">
      <x:c r="B1463" s="40"/>
      <x:c r="C1463" s="40"/>
      <x:c r="D1463" s="40"/>
      <x:c r="E1463" s="40"/>
      <x:c r="F1463" s="40"/>
      <x:c r="G1463" s="40"/>
      <x:c r="H1463" s="40"/>
    </x:row>
    <x:row r="1464">
      <x:c r="B1464" s="40"/>
      <x:c r="C1464" s="40"/>
      <x:c r="D1464" s="40"/>
      <x:c r="E1464" s="40"/>
      <x:c r="F1464" s="40"/>
      <x:c r="G1464" s="40"/>
      <x:c r="H1464" s="40"/>
    </x:row>
    <x:row r="1465">
      <x:c r="B1465" s="40"/>
      <x:c r="C1465" s="40"/>
      <x:c r="D1465" s="40"/>
      <x:c r="E1465" s="40"/>
      <x:c r="F1465" s="40"/>
      <x:c r="G1465" s="40"/>
      <x:c r="H1465" s="40"/>
    </x:row>
    <x:row r="1466">
      <x:c r="B1466" s="40"/>
      <x:c r="C1466" s="40"/>
      <x:c r="D1466" s="40"/>
      <x:c r="E1466" s="40"/>
      <x:c r="F1466" s="40"/>
      <x:c r="G1466" s="40"/>
      <x:c r="H1466" s="40"/>
    </x:row>
    <x:row r="1467">
      <x:c r="B1467" s="40"/>
      <x:c r="C1467" s="40"/>
      <x:c r="D1467" s="40"/>
      <x:c r="E1467" s="40"/>
      <x:c r="F1467" s="40"/>
      <x:c r="G1467" s="40"/>
      <x:c r="H1467" s="40"/>
    </x:row>
    <x:row r="1468">
      <x:c r="B1468" s="40"/>
      <x:c r="C1468" s="40"/>
      <x:c r="D1468" s="40"/>
      <x:c r="E1468" s="40"/>
      <x:c r="F1468" s="40"/>
      <x:c r="G1468" s="40"/>
      <x:c r="H1468" s="40"/>
    </x:row>
    <x:row r="1469">
      <x:c r="B1469" s="40"/>
      <x:c r="C1469" s="40"/>
      <x:c r="D1469" s="40"/>
      <x:c r="E1469" s="40"/>
      <x:c r="F1469" s="40"/>
      <x:c r="G1469" s="40"/>
      <x:c r="H1469" s="40"/>
    </x:row>
    <x:row r="1470">
      <x:c r="B1470" s="40"/>
      <x:c r="C1470" s="40"/>
      <x:c r="D1470" s="40"/>
      <x:c r="E1470" s="40"/>
      <x:c r="F1470" s="40"/>
      <x:c r="G1470" s="40"/>
      <x:c r="H1470" s="40"/>
    </x:row>
    <x:row r="1471">
      <x:c r="B1471" s="40"/>
      <x:c r="C1471" s="40"/>
      <x:c r="D1471" s="40"/>
      <x:c r="E1471" s="40"/>
      <x:c r="F1471" s="40"/>
      <x:c r="G1471" s="40"/>
      <x:c r="H1471" s="40"/>
    </x:row>
    <x:row r="1472">
      <x:c r="B1472" s="40"/>
      <x:c r="C1472" s="40"/>
      <x:c r="D1472" s="40"/>
      <x:c r="E1472" s="40"/>
      <x:c r="F1472" s="40"/>
      <x:c r="G1472" s="40"/>
      <x:c r="H1472" s="40"/>
    </x:row>
    <x:row r="1473">
      <x:c r="B1473" s="40"/>
      <x:c r="C1473" s="40"/>
      <x:c r="D1473" s="40"/>
      <x:c r="E1473" s="40"/>
      <x:c r="F1473" s="40"/>
      <x:c r="G1473" s="40"/>
      <x:c r="H1473" s="40"/>
    </x:row>
    <x:row r="1474">
      <x:c r="B1474" s="40"/>
      <x:c r="C1474" s="40"/>
      <x:c r="D1474" s="40"/>
      <x:c r="E1474" s="40"/>
      <x:c r="F1474" s="40"/>
      <x:c r="G1474" s="40"/>
      <x:c r="H1474" s="40"/>
    </x:row>
    <x:row r="1475">
      <x:c r="B1475" s="40"/>
      <x:c r="C1475" s="40"/>
      <x:c r="D1475" s="40"/>
      <x:c r="E1475" s="40"/>
      <x:c r="F1475" s="40"/>
      <x:c r="G1475" s="40"/>
      <x:c r="H1475" s="40"/>
    </x:row>
    <x:row r="1476">
      <x:c r="B1476" s="40"/>
      <x:c r="C1476" s="40"/>
      <x:c r="D1476" s="40"/>
      <x:c r="E1476" s="40"/>
      <x:c r="F1476" s="40"/>
      <x:c r="G1476" s="40"/>
      <x:c r="H1476" s="40"/>
    </x:row>
    <x:row r="1477">
      <x:c r="B1477" s="40"/>
      <x:c r="C1477" s="40"/>
      <x:c r="D1477" s="40"/>
      <x:c r="E1477" s="40"/>
      <x:c r="F1477" s="40"/>
      <x:c r="G1477" s="40"/>
      <x:c r="H1477" s="40"/>
    </x:row>
    <x:row r="1478">
      <x:c r="B1478" s="40"/>
      <x:c r="C1478" s="40"/>
      <x:c r="D1478" s="40"/>
      <x:c r="E1478" s="40"/>
      <x:c r="F1478" s="40"/>
      <x:c r="G1478" s="40"/>
      <x:c r="H1478" s="40"/>
    </x:row>
    <x:row r="1479">
      <x:c r="B1479" s="40"/>
      <x:c r="C1479" s="40"/>
      <x:c r="D1479" s="40"/>
      <x:c r="E1479" s="40"/>
      <x:c r="F1479" s="40"/>
      <x:c r="G1479" s="40"/>
      <x:c r="H1479" s="40"/>
    </x:row>
    <x:row r="1480">
      <x:c r="B1480" s="40"/>
      <x:c r="C1480" s="40"/>
      <x:c r="D1480" s="40"/>
      <x:c r="E1480" s="40"/>
      <x:c r="F1480" s="40"/>
      <x:c r="G1480" s="40"/>
      <x:c r="H1480" s="40"/>
    </x:row>
    <x:row r="1481">
      <x:c r="B1481" s="40"/>
      <x:c r="C1481" s="40"/>
      <x:c r="D1481" s="40"/>
      <x:c r="E1481" s="40"/>
      <x:c r="F1481" s="40"/>
      <x:c r="G1481" s="40"/>
      <x:c r="H1481" s="40"/>
    </x:row>
    <x:row r="1482">
      <x:c r="B1482" s="40"/>
      <x:c r="C1482" s="40"/>
      <x:c r="D1482" s="40"/>
      <x:c r="E1482" s="40"/>
      <x:c r="F1482" s="40"/>
      <x:c r="G1482" s="40"/>
      <x:c r="H1482" s="40"/>
    </x:row>
    <x:row r="1483">
      <x:c r="B1483" s="40"/>
      <x:c r="C1483" s="40"/>
      <x:c r="D1483" s="40"/>
      <x:c r="E1483" s="40"/>
      <x:c r="F1483" s="40"/>
      <x:c r="G1483" s="40"/>
      <x:c r="H1483" s="40"/>
    </x:row>
    <x:row r="1484">
      <x:c r="B1484" s="40"/>
      <x:c r="C1484" s="40"/>
      <x:c r="D1484" s="40"/>
      <x:c r="E1484" s="40"/>
      <x:c r="F1484" s="40"/>
      <x:c r="G1484" s="40"/>
      <x:c r="H1484" s="40"/>
    </x:row>
    <x:row r="1485">
      <x:c r="B1485" s="40"/>
      <x:c r="C1485" s="40"/>
      <x:c r="D1485" s="40"/>
      <x:c r="E1485" s="40"/>
      <x:c r="F1485" s="40"/>
      <x:c r="G1485" s="40"/>
      <x:c r="H1485" s="40"/>
    </x:row>
    <x:row r="1486">
      <x:c r="B1486" s="40"/>
      <x:c r="C1486" s="40"/>
      <x:c r="D1486" s="40"/>
      <x:c r="E1486" s="40"/>
      <x:c r="F1486" s="40"/>
      <x:c r="G1486" s="40"/>
      <x:c r="H1486" s="40"/>
    </x:row>
    <x:row r="1487">
      <x:c r="B1487" s="40"/>
      <x:c r="C1487" s="40"/>
      <x:c r="D1487" s="40"/>
      <x:c r="E1487" s="40"/>
      <x:c r="F1487" s="40"/>
      <x:c r="G1487" s="40"/>
      <x:c r="H1487" s="40"/>
    </x:row>
    <x:row r="1488">
      <x:c r="B1488" s="40"/>
      <x:c r="C1488" s="40"/>
      <x:c r="D1488" s="40"/>
      <x:c r="E1488" s="40"/>
      <x:c r="F1488" s="40"/>
      <x:c r="G1488" s="40"/>
      <x:c r="H1488" s="40"/>
    </x:row>
    <x:row r="1489">
      <x:c r="B1489" s="40"/>
      <x:c r="C1489" s="40"/>
      <x:c r="D1489" s="40"/>
      <x:c r="E1489" s="40"/>
      <x:c r="F1489" s="40"/>
      <x:c r="G1489" s="40"/>
      <x:c r="H1489" s="40"/>
    </x:row>
    <x:row r="1490">
      <x:c r="B1490" s="40"/>
      <x:c r="C1490" s="40"/>
      <x:c r="D1490" s="40"/>
      <x:c r="E1490" s="40"/>
      <x:c r="F1490" s="40"/>
      <x:c r="G1490" s="40"/>
      <x:c r="H1490" s="40"/>
    </x:row>
    <x:row r="1491">
      <x:c r="B1491" s="40"/>
      <x:c r="C1491" s="40"/>
      <x:c r="D1491" s="40"/>
      <x:c r="E1491" s="40"/>
      <x:c r="F1491" s="40"/>
      <x:c r="G1491" s="40"/>
      <x:c r="H1491" s="40"/>
    </x:row>
    <x:row r="1492">
      <x:c r="B1492" s="40"/>
      <x:c r="C1492" s="40"/>
      <x:c r="D1492" s="40"/>
      <x:c r="E1492" s="40"/>
      <x:c r="F1492" s="40"/>
      <x:c r="G1492" s="40"/>
      <x:c r="H1492" s="40"/>
    </x:row>
    <x:row r="1493">
      <x:c r="B1493" s="40"/>
      <x:c r="C1493" s="40"/>
      <x:c r="D1493" s="40"/>
      <x:c r="E1493" s="40"/>
      <x:c r="F1493" s="40"/>
      <x:c r="G1493" s="40"/>
      <x:c r="H1493" s="40"/>
    </x:row>
    <x:row r="1494">
      <x:c r="B1494" s="40"/>
      <x:c r="C1494" s="40"/>
      <x:c r="D1494" s="40"/>
      <x:c r="E1494" s="40"/>
      <x:c r="F1494" s="40"/>
      <x:c r="G1494" s="40"/>
      <x:c r="H1494" s="40"/>
    </x:row>
    <x:row r="1495">
      <x:c r="B1495" s="40"/>
      <x:c r="C1495" s="40"/>
      <x:c r="D1495" s="40"/>
      <x:c r="E1495" s="40"/>
      <x:c r="F1495" s="40"/>
      <x:c r="G1495" s="40"/>
      <x:c r="H1495" s="40"/>
    </x:row>
    <x:row r="1496">
      <x:c r="B1496" s="40"/>
      <x:c r="C1496" s="40"/>
      <x:c r="D1496" s="40"/>
      <x:c r="E1496" s="40"/>
      <x:c r="F1496" s="40"/>
      <x:c r="G1496" s="40"/>
      <x:c r="H1496" s="40"/>
    </x:row>
    <x:row r="1497">
      <x:c r="B1497" s="40"/>
      <x:c r="C1497" s="40"/>
      <x:c r="D1497" s="40"/>
      <x:c r="E1497" s="40"/>
      <x:c r="F1497" s="40"/>
      <x:c r="G1497" s="40"/>
      <x:c r="H1497" s="40"/>
    </x:row>
    <x:row r="1498">
      <x:c r="B1498" s="40"/>
      <x:c r="C1498" s="40"/>
      <x:c r="D1498" s="40"/>
      <x:c r="E1498" s="40"/>
      <x:c r="F1498" s="40"/>
      <x:c r="G1498" s="40"/>
      <x:c r="H1498" s="40"/>
    </x:row>
    <x:row r="1499">
      <x:c r="B1499" s="40"/>
      <x:c r="C1499" s="40"/>
      <x:c r="D1499" s="40"/>
      <x:c r="E1499" s="40"/>
      <x:c r="F1499" s="40"/>
      <x:c r="G1499" s="40"/>
      <x:c r="H1499" s="40"/>
    </x:row>
    <x:row r="1500">
      <x:c r="B1500" s="40"/>
      <x:c r="C1500" s="40"/>
      <x:c r="D1500" s="40"/>
      <x:c r="E1500" s="40"/>
      <x:c r="F1500" s="40"/>
      <x:c r="G1500" s="40"/>
      <x:c r="H1500" s="40"/>
    </x:row>
    <x:row r="1501">
      <x:c r="B1501" s="40"/>
      <x:c r="C1501" s="40"/>
      <x:c r="D1501" s="40"/>
      <x:c r="E1501" s="40"/>
      <x:c r="F1501" s="40"/>
      <x:c r="G1501" s="40"/>
      <x:c r="H1501" s="40"/>
    </x:row>
    <x:row r="1502">
      <x:c r="B1502" s="40"/>
      <x:c r="C1502" s="40"/>
      <x:c r="D1502" s="40"/>
      <x:c r="E1502" s="40"/>
      <x:c r="F1502" s="40"/>
      <x:c r="G1502" s="40"/>
      <x:c r="H1502" s="40"/>
    </x:row>
    <x:row r="1503">
      <x:c r="B1503" s="40"/>
      <x:c r="C1503" s="40"/>
      <x:c r="D1503" s="40"/>
      <x:c r="E1503" s="40"/>
      <x:c r="F1503" s="40"/>
      <x:c r="G1503" s="40"/>
      <x:c r="H1503" s="40"/>
    </x:row>
    <x:row r="1504">
      <x:c r="B1504" s="40"/>
      <x:c r="C1504" s="40"/>
      <x:c r="D1504" s="40"/>
      <x:c r="E1504" s="40"/>
      <x:c r="F1504" s="40"/>
      <x:c r="G1504" s="40"/>
      <x:c r="H1504" s="40"/>
    </x:row>
    <x:row r="1505">
      <x:c r="B1505" s="40"/>
      <x:c r="C1505" s="40"/>
      <x:c r="D1505" s="40"/>
      <x:c r="E1505" s="40"/>
      <x:c r="F1505" s="40"/>
      <x:c r="G1505" s="40"/>
      <x:c r="H1505" s="40"/>
    </x:row>
    <x:row r="1506">
      <x:c r="B1506" s="40"/>
      <x:c r="C1506" s="40"/>
      <x:c r="D1506" s="40"/>
      <x:c r="E1506" s="40"/>
      <x:c r="F1506" s="40"/>
      <x:c r="G1506" s="40"/>
      <x:c r="H1506" s="40"/>
    </x:row>
    <x:row r="1507">
      <x:c r="B1507" s="40"/>
      <x:c r="C1507" s="40"/>
      <x:c r="D1507" s="40"/>
      <x:c r="E1507" s="40"/>
      <x:c r="F1507" s="40"/>
      <x:c r="G1507" s="40"/>
      <x:c r="H1507" s="40"/>
    </x:row>
    <x:row r="1508">
      <x:c r="B1508" s="40"/>
      <x:c r="C1508" s="40"/>
      <x:c r="D1508" s="40"/>
      <x:c r="E1508" s="40"/>
      <x:c r="F1508" s="40"/>
      <x:c r="G1508" s="40"/>
      <x:c r="H1508" s="40"/>
    </x:row>
    <x:row r="1509">
      <x:c r="B1509" s="40"/>
      <x:c r="C1509" s="40"/>
      <x:c r="D1509" s="40"/>
      <x:c r="E1509" s="40"/>
      <x:c r="F1509" s="40"/>
      <x:c r="G1509" s="40"/>
      <x:c r="H1509" s="40"/>
    </x:row>
    <x:row r="1510">
      <x:c r="B1510" s="40"/>
      <x:c r="C1510" s="40"/>
      <x:c r="D1510" s="40"/>
      <x:c r="E1510" s="40"/>
      <x:c r="F1510" s="40"/>
      <x:c r="G1510" s="40"/>
      <x:c r="H1510" s="40"/>
    </x:row>
    <x:row r="1511">
      <x:c r="B1511" s="40"/>
      <x:c r="C1511" s="40"/>
      <x:c r="D1511" s="40"/>
      <x:c r="E1511" s="40"/>
      <x:c r="F1511" s="40"/>
      <x:c r="G1511" s="40"/>
      <x:c r="H1511" s="40"/>
    </x:row>
    <x:row r="1512">
      <x:c r="B1512" s="40"/>
      <x:c r="C1512" s="40"/>
      <x:c r="D1512" s="40"/>
      <x:c r="E1512" s="40"/>
      <x:c r="F1512" s="40"/>
      <x:c r="G1512" s="40"/>
      <x:c r="H1512" s="40"/>
    </x:row>
    <x:row r="1513">
      <x:c r="B1513" s="40"/>
      <x:c r="C1513" s="40"/>
      <x:c r="D1513" s="40"/>
      <x:c r="E1513" s="40"/>
      <x:c r="F1513" s="40"/>
      <x:c r="G1513" s="40"/>
      <x:c r="H1513" s="40"/>
    </x:row>
    <x:row r="1514">
      <x:c r="B1514" s="40"/>
      <x:c r="C1514" s="40"/>
      <x:c r="D1514" s="40"/>
      <x:c r="E1514" s="40"/>
      <x:c r="F1514" s="40"/>
      <x:c r="G1514" s="40"/>
      <x:c r="H1514" s="40"/>
    </x:row>
    <x:row r="1515">
      <x:c r="B1515" s="40"/>
      <x:c r="C1515" s="40"/>
      <x:c r="D1515" s="40"/>
      <x:c r="E1515" s="40"/>
      <x:c r="F1515" s="40"/>
      <x:c r="G1515" s="40"/>
      <x:c r="H1515" s="40"/>
    </x:row>
    <x:row r="1516">
      <x:c r="B1516" s="40"/>
      <x:c r="C1516" s="40"/>
      <x:c r="D1516" s="40"/>
      <x:c r="E1516" s="40"/>
      <x:c r="F1516" s="40"/>
      <x:c r="G1516" s="40"/>
      <x:c r="H1516" s="40"/>
    </x:row>
    <x:row r="1517">
      <x:c r="B1517" s="40"/>
      <x:c r="C1517" s="40"/>
      <x:c r="D1517" s="40"/>
      <x:c r="E1517" s="40"/>
      <x:c r="F1517" s="40"/>
      <x:c r="G1517" s="40"/>
      <x:c r="H1517" s="40"/>
    </x:row>
    <x:row r="1518">
      <x:c r="B1518" s="40"/>
      <x:c r="C1518" s="40"/>
      <x:c r="D1518" s="40"/>
      <x:c r="E1518" s="40"/>
      <x:c r="F1518" s="40"/>
      <x:c r="G1518" s="40"/>
      <x:c r="H1518" s="40"/>
    </x:row>
    <x:row r="1519">
      <x:c r="B1519" s="40"/>
      <x:c r="C1519" s="40"/>
      <x:c r="D1519" s="40"/>
      <x:c r="E1519" s="40"/>
      <x:c r="F1519" s="40"/>
      <x:c r="G1519" s="40"/>
      <x:c r="H1519" s="40"/>
    </x:row>
    <x:row r="1520">
      <x:c r="B1520" s="40"/>
      <x:c r="C1520" s="40"/>
      <x:c r="D1520" s="40"/>
      <x:c r="E1520" s="40"/>
      <x:c r="F1520" s="40"/>
      <x:c r="G1520" s="40"/>
      <x:c r="H1520" s="40"/>
    </x:row>
    <x:row r="1521">
      <x:c r="B1521" s="40"/>
      <x:c r="C1521" s="40"/>
      <x:c r="D1521" s="40"/>
      <x:c r="E1521" s="40"/>
      <x:c r="F1521" s="40"/>
      <x:c r="G1521" s="40"/>
      <x:c r="H1521" s="40"/>
    </x:row>
    <x:row r="1522">
      <x:c r="B1522" s="40"/>
      <x:c r="C1522" s="40"/>
      <x:c r="D1522" s="40"/>
      <x:c r="E1522" s="40"/>
      <x:c r="F1522" s="40"/>
      <x:c r="G1522" s="40"/>
      <x:c r="H1522" s="40"/>
    </x:row>
    <x:row r="1523">
      <x:c r="B1523" s="40"/>
      <x:c r="C1523" s="40"/>
      <x:c r="D1523" s="40"/>
      <x:c r="E1523" s="40"/>
      <x:c r="F1523" s="40"/>
      <x:c r="G1523" s="40"/>
      <x:c r="H1523" s="40"/>
    </x:row>
    <x:row r="1524">
      <x:c r="B1524" s="40"/>
      <x:c r="C1524" s="40"/>
      <x:c r="D1524" s="40"/>
      <x:c r="E1524" s="40"/>
      <x:c r="F1524" s="40"/>
      <x:c r="G1524" s="40"/>
      <x:c r="H1524" s="40"/>
    </x:row>
    <x:row r="1525">
      <x:c r="B1525" s="40"/>
      <x:c r="C1525" s="40"/>
      <x:c r="D1525" s="40"/>
      <x:c r="E1525" s="40"/>
      <x:c r="F1525" s="40"/>
      <x:c r="G1525" s="40"/>
      <x:c r="H1525" s="40"/>
    </x:row>
    <x:row r="1526">
      <x:c r="B1526" s="40"/>
      <x:c r="C1526" s="40"/>
      <x:c r="D1526" s="40"/>
      <x:c r="E1526" s="40"/>
      <x:c r="F1526" s="40"/>
      <x:c r="G1526" s="40"/>
      <x:c r="H1526" s="40"/>
    </x:row>
    <x:row r="1527">
      <x:c r="B1527" s="40"/>
      <x:c r="C1527" s="40"/>
      <x:c r="D1527" s="40"/>
      <x:c r="E1527" s="40"/>
      <x:c r="F1527" s="40"/>
      <x:c r="G1527" s="40"/>
      <x:c r="H1527" s="40"/>
    </x:row>
    <x:row r="1528">
      <x:c r="B1528" s="40"/>
      <x:c r="C1528" s="40"/>
      <x:c r="D1528" s="40"/>
      <x:c r="E1528" s="40"/>
      <x:c r="F1528" s="40"/>
      <x:c r="G1528" s="40"/>
      <x:c r="H1528" s="40"/>
    </x:row>
    <x:row r="1529">
      <x:c r="B1529" s="40"/>
      <x:c r="C1529" s="40"/>
      <x:c r="D1529" s="40"/>
      <x:c r="E1529" s="40"/>
      <x:c r="F1529" s="40"/>
      <x:c r="G1529" s="40"/>
      <x:c r="H1529" s="40"/>
    </x:row>
    <x:row r="1530">
      <x:c r="B1530" s="40"/>
      <x:c r="C1530" s="40"/>
      <x:c r="D1530" s="40"/>
      <x:c r="E1530" s="40"/>
      <x:c r="F1530" s="40"/>
      <x:c r="G1530" s="40"/>
      <x:c r="H1530" s="40"/>
    </x:row>
    <x:row r="1531">
      <x:c r="B1531" s="40"/>
      <x:c r="C1531" s="40"/>
      <x:c r="D1531" s="40"/>
      <x:c r="E1531" s="40"/>
      <x:c r="F1531" s="40"/>
      <x:c r="G1531" s="40"/>
      <x:c r="H1531" s="40"/>
    </x:row>
    <x:row r="1532">
      <x:c r="B1532" s="40"/>
      <x:c r="C1532" s="40"/>
      <x:c r="D1532" s="40"/>
      <x:c r="E1532" s="40"/>
      <x:c r="F1532" s="40"/>
      <x:c r="G1532" s="40"/>
      <x:c r="H1532" s="40"/>
    </x:row>
    <x:row r="1533">
      <x:c r="B1533" s="40"/>
      <x:c r="C1533" s="40"/>
      <x:c r="D1533" s="40"/>
      <x:c r="E1533" s="40"/>
      <x:c r="F1533" s="40"/>
      <x:c r="G1533" s="40"/>
      <x:c r="H1533" s="40"/>
    </x:row>
    <x:row r="1534">
      <x:c r="B1534" s="40"/>
      <x:c r="C1534" s="40"/>
      <x:c r="D1534" s="40"/>
      <x:c r="E1534" s="40"/>
      <x:c r="F1534" s="40"/>
      <x:c r="G1534" s="40"/>
      <x:c r="H1534" s="40"/>
    </x:row>
    <x:row r="1535">
      <x:c r="B1535" s="40"/>
      <x:c r="C1535" s="40"/>
      <x:c r="D1535" s="40"/>
      <x:c r="E1535" s="40"/>
      <x:c r="F1535" s="40"/>
      <x:c r="G1535" s="40"/>
      <x:c r="H1535" s="40"/>
    </x:row>
    <x:row r="1536">
      <x:c r="B1536" s="40"/>
      <x:c r="C1536" s="40"/>
      <x:c r="D1536" s="40"/>
      <x:c r="E1536" s="40"/>
      <x:c r="F1536" s="40"/>
      <x:c r="G1536" s="40"/>
      <x:c r="H1536" s="40"/>
    </x:row>
    <x:row r="1537">
      <x:c r="B1537" s="40"/>
      <x:c r="C1537" s="40"/>
      <x:c r="D1537" s="40"/>
      <x:c r="E1537" s="40"/>
      <x:c r="F1537" s="40"/>
      <x:c r="G1537" s="40"/>
      <x:c r="H1537" s="40"/>
    </x:row>
    <x:row r="1538">
      <x:c r="B1538" s="40"/>
      <x:c r="C1538" s="40"/>
      <x:c r="D1538" s="40"/>
      <x:c r="E1538" s="40"/>
      <x:c r="F1538" s="40"/>
      <x:c r="G1538" s="40"/>
      <x:c r="H1538" s="40"/>
    </x:row>
    <x:row r="1539">
      <x:c r="B1539" s="40"/>
      <x:c r="C1539" s="40"/>
      <x:c r="D1539" s="40"/>
      <x:c r="E1539" s="40"/>
      <x:c r="F1539" s="40"/>
      <x:c r="G1539" s="40"/>
      <x:c r="H1539" s="40"/>
    </x:row>
    <x:row r="1540">
      <x:c r="B1540" s="40"/>
      <x:c r="C1540" s="40"/>
      <x:c r="D1540" s="40"/>
      <x:c r="E1540" s="40"/>
      <x:c r="F1540" s="40"/>
      <x:c r="G1540" s="40"/>
      <x:c r="H1540" s="40"/>
    </x:row>
    <x:row r="1541">
      <x:c r="B1541" s="40"/>
      <x:c r="C1541" s="40"/>
      <x:c r="D1541" s="40"/>
      <x:c r="E1541" s="40"/>
      <x:c r="F1541" s="40"/>
      <x:c r="G1541" s="40"/>
      <x:c r="H1541" s="40"/>
    </x:row>
    <x:row r="1542">
      <x:c r="B1542" s="40"/>
      <x:c r="C1542" s="40"/>
      <x:c r="D1542" s="40"/>
      <x:c r="E1542" s="40"/>
      <x:c r="F1542" s="40"/>
      <x:c r="G1542" s="40"/>
      <x:c r="H1542" s="40"/>
    </x:row>
    <x:row r="1543">
      <x:c r="B1543" s="40"/>
      <x:c r="C1543" s="40"/>
      <x:c r="D1543" s="40"/>
      <x:c r="E1543" s="40"/>
      <x:c r="F1543" s="40"/>
      <x:c r="G1543" s="40"/>
      <x:c r="H1543" s="40"/>
    </x:row>
    <x:row r="1544">
      <x:c r="B1544" s="40"/>
      <x:c r="C1544" s="40"/>
      <x:c r="D1544" s="40"/>
      <x:c r="E1544" s="40"/>
      <x:c r="F1544" s="40"/>
      <x:c r="G1544" s="40"/>
      <x:c r="H1544" s="40"/>
    </x:row>
    <x:row r="1545">
      <x:c r="B1545" s="40"/>
      <x:c r="C1545" s="40"/>
      <x:c r="D1545" s="40"/>
      <x:c r="E1545" s="40"/>
      <x:c r="F1545" s="40"/>
      <x:c r="G1545" s="40"/>
      <x:c r="H1545" s="40"/>
    </x:row>
    <x:row r="1546">
      <x:c r="B1546" s="40"/>
      <x:c r="C1546" s="40"/>
      <x:c r="D1546" s="40"/>
      <x:c r="E1546" s="40"/>
      <x:c r="F1546" s="40"/>
      <x:c r="G1546" s="40"/>
      <x:c r="H1546" s="40"/>
    </x:row>
    <x:row r="1547">
      <x:c r="B1547" s="40"/>
      <x:c r="C1547" s="40"/>
      <x:c r="D1547" s="40"/>
      <x:c r="E1547" s="40"/>
      <x:c r="F1547" s="40"/>
      <x:c r="G1547" s="40"/>
      <x:c r="H1547" s="40"/>
    </x:row>
    <x:row r="1548">
      <x:c r="B1548" s="40"/>
      <x:c r="C1548" s="40"/>
      <x:c r="D1548" s="40"/>
      <x:c r="E1548" s="40"/>
      <x:c r="F1548" s="40"/>
      <x:c r="G1548" s="40"/>
      <x:c r="H1548" s="40"/>
    </x:row>
    <x:row r="1549">
      <x:c r="B1549" s="40"/>
      <x:c r="C1549" s="40"/>
      <x:c r="D1549" s="40"/>
      <x:c r="E1549" s="40"/>
      <x:c r="F1549" s="40"/>
      <x:c r="G1549" s="40"/>
      <x:c r="H1549" s="40"/>
    </x:row>
    <x:row r="1550">
      <x:c r="B1550" s="40"/>
      <x:c r="C1550" s="40"/>
      <x:c r="D1550" s="40"/>
      <x:c r="E1550" s="40"/>
      <x:c r="F1550" s="40"/>
      <x:c r="G1550" s="40"/>
      <x:c r="H1550" s="40"/>
    </x:row>
    <x:row r="1551">
      <x:c r="B1551" s="40"/>
      <x:c r="C1551" s="40"/>
      <x:c r="D1551" s="40"/>
      <x:c r="E1551" s="40"/>
      <x:c r="F1551" s="40"/>
      <x:c r="G1551" s="40"/>
      <x:c r="H1551" s="40"/>
    </x:row>
    <x:row r="1552">
      <x:c r="B1552" s="40"/>
      <x:c r="C1552" s="40"/>
      <x:c r="D1552" s="40"/>
      <x:c r="E1552" s="40"/>
      <x:c r="F1552" s="40"/>
      <x:c r="G1552" s="40"/>
      <x:c r="H1552" s="40"/>
    </x:row>
    <x:row r="1553">
      <x:c r="B1553" s="40"/>
      <x:c r="C1553" s="40"/>
      <x:c r="D1553" s="40"/>
      <x:c r="E1553" s="40"/>
      <x:c r="F1553" s="40"/>
      <x:c r="G1553" s="40"/>
      <x:c r="H1553" s="40"/>
    </x:row>
    <x:row r="1554">
      <x:c r="B1554" s="40"/>
      <x:c r="C1554" s="40"/>
      <x:c r="D1554" s="40"/>
      <x:c r="E1554" s="40"/>
      <x:c r="F1554" s="40"/>
      <x:c r="G1554" s="40"/>
      <x:c r="H1554" s="40"/>
    </x:row>
    <x:row r="1555">
      <x:c r="B1555" s="40"/>
      <x:c r="C1555" s="40"/>
      <x:c r="D1555" s="40"/>
      <x:c r="E1555" s="40"/>
      <x:c r="F1555" s="40"/>
      <x:c r="G1555" s="40"/>
      <x:c r="H1555" s="40"/>
    </x:row>
    <x:row r="1556">
      <x:c r="B1556" s="40"/>
      <x:c r="C1556" s="40"/>
      <x:c r="D1556" s="40"/>
      <x:c r="E1556" s="40"/>
      <x:c r="F1556" s="40"/>
      <x:c r="G1556" s="40"/>
      <x:c r="H1556" s="40"/>
    </x:row>
    <x:row r="1557">
      <x:c r="B1557" s="40"/>
      <x:c r="C1557" s="40"/>
      <x:c r="D1557" s="40"/>
      <x:c r="E1557" s="40"/>
      <x:c r="F1557" s="40"/>
      <x:c r="G1557" s="40"/>
      <x:c r="H1557" s="40"/>
    </x:row>
    <x:row r="1558">
      <x:c r="B1558" s="40"/>
      <x:c r="C1558" s="40"/>
      <x:c r="D1558" s="40"/>
      <x:c r="E1558" s="40"/>
      <x:c r="F1558" s="40"/>
      <x:c r="G1558" s="40"/>
      <x:c r="H1558" s="40"/>
    </x:row>
    <x:row r="1559">
      <x:c r="B1559" s="40"/>
      <x:c r="C1559" s="40"/>
      <x:c r="D1559" s="40"/>
      <x:c r="E1559" s="40"/>
      <x:c r="F1559" s="40"/>
      <x:c r="G1559" s="40"/>
      <x:c r="H1559" s="40"/>
    </x:row>
    <x:row r="1560">
      <x:c r="B1560" s="40"/>
      <x:c r="C1560" s="40"/>
      <x:c r="D1560" s="40"/>
      <x:c r="E1560" s="40"/>
      <x:c r="F1560" s="40"/>
      <x:c r="G1560" s="40"/>
      <x:c r="H1560" s="40"/>
    </x:row>
    <x:row r="1561">
      <x:c r="B1561" s="40"/>
      <x:c r="C1561" s="40"/>
      <x:c r="D1561" s="40"/>
      <x:c r="E1561" s="40"/>
      <x:c r="F1561" s="40"/>
      <x:c r="G1561" s="40"/>
      <x:c r="H1561" s="40"/>
    </x:row>
    <x:row r="1562">
      <x:c r="B1562" s="40"/>
      <x:c r="C1562" s="40"/>
      <x:c r="D1562" s="40"/>
      <x:c r="E1562" s="40"/>
      <x:c r="F1562" s="40"/>
      <x:c r="G1562" s="40"/>
      <x:c r="H1562" s="40"/>
    </x:row>
    <x:row r="1563">
      <x:c r="B1563" s="40"/>
      <x:c r="C1563" s="40"/>
      <x:c r="D1563" s="40"/>
      <x:c r="E1563" s="40"/>
      <x:c r="F1563" s="40"/>
      <x:c r="G1563" s="40"/>
      <x:c r="H1563" s="40"/>
    </x:row>
    <x:row r="1564">
      <x:c r="B1564" s="40"/>
      <x:c r="C1564" s="40"/>
      <x:c r="D1564" s="40"/>
      <x:c r="E1564" s="40"/>
      <x:c r="F1564" s="40"/>
      <x:c r="G1564" s="40"/>
      <x:c r="H1564" s="40"/>
    </x:row>
    <x:row r="1565">
      <x:c r="B1565" s="40"/>
      <x:c r="C1565" s="40"/>
      <x:c r="D1565" s="40"/>
      <x:c r="E1565" s="40"/>
      <x:c r="F1565" s="40"/>
      <x:c r="G1565" s="40"/>
      <x:c r="H1565" s="40"/>
    </x:row>
    <x:row r="1566">
      <x:c r="B1566" s="40"/>
      <x:c r="C1566" s="40"/>
      <x:c r="D1566" s="40"/>
      <x:c r="E1566" s="40"/>
      <x:c r="F1566" s="40"/>
      <x:c r="G1566" s="40"/>
      <x:c r="H1566" s="40"/>
    </x:row>
    <x:row r="1567">
      <x:c r="B1567" s="40"/>
      <x:c r="C1567" s="40"/>
      <x:c r="D1567" s="40"/>
      <x:c r="E1567" s="40"/>
      <x:c r="F1567" s="40"/>
      <x:c r="G1567" s="40"/>
      <x:c r="H1567" s="40"/>
    </x:row>
    <x:row r="1568">
      <x:c r="B1568" s="40"/>
      <x:c r="C1568" s="40"/>
      <x:c r="D1568" s="40"/>
      <x:c r="E1568" s="40"/>
      <x:c r="F1568" s="40"/>
      <x:c r="G1568" s="40"/>
      <x:c r="H1568" s="40"/>
    </x:row>
    <x:row r="1569">
      <x:c r="B1569" s="40"/>
      <x:c r="C1569" s="40"/>
      <x:c r="D1569" s="40"/>
      <x:c r="E1569" s="40"/>
      <x:c r="F1569" s="40"/>
      <x:c r="G1569" s="40"/>
      <x:c r="H1569" s="40"/>
    </x:row>
    <x:row r="1570">
      <x:c r="B1570" s="40"/>
      <x:c r="C1570" s="40"/>
      <x:c r="D1570" s="40"/>
      <x:c r="E1570" s="40"/>
      <x:c r="F1570" s="40"/>
      <x:c r="G1570" s="40"/>
      <x:c r="H1570" s="40"/>
    </x:row>
    <x:row r="1571">
      <x:c r="B1571" s="40"/>
      <x:c r="C1571" s="40"/>
      <x:c r="D1571" s="40"/>
      <x:c r="E1571" s="40"/>
      <x:c r="F1571" s="40"/>
      <x:c r="G1571" s="40"/>
      <x:c r="H1571" s="40"/>
    </x:row>
    <x:row r="1572">
      <x:c r="B1572" s="40"/>
      <x:c r="C1572" s="40"/>
      <x:c r="D1572" s="40"/>
      <x:c r="E1572" s="40"/>
      <x:c r="F1572" s="40"/>
      <x:c r="G1572" s="40"/>
      <x:c r="H1572" s="40"/>
    </x:row>
    <x:row r="1573">
      <x:c r="B1573" s="40"/>
      <x:c r="C1573" s="40"/>
      <x:c r="D1573" s="40"/>
      <x:c r="E1573" s="40"/>
      <x:c r="F1573" s="40"/>
      <x:c r="G1573" s="40"/>
      <x:c r="H1573" s="40"/>
    </x:row>
    <x:row r="1574">
      <x:c r="B1574" s="40"/>
      <x:c r="C1574" s="40"/>
      <x:c r="D1574" s="40"/>
      <x:c r="E1574" s="40"/>
      <x:c r="F1574" s="40"/>
      <x:c r="G1574" s="40"/>
      <x:c r="H1574" s="40"/>
    </x:row>
    <x:row r="1575">
      <x:c r="B1575" s="40"/>
      <x:c r="C1575" s="40"/>
      <x:c r="D1575" s="40"/>
      <x:c r="E1575" s="40"/>
      <x:c r="F1575" s="40"/>
      <x:c r="G1575" s="40"/>
      <x:c r="H1575" s="40"/>
    </x:row>
    <x:row r="1576">
      <x:c r="B1576" s="40"/>
      <x:c r="C1576" s="40"/>
      <x:c r="D1576" s="40"/>
      <x:c r="E1576" s="40"/>
      <x:c r="F1576" s="40"/>
      <x:c r="G1576" s="40"/>
      <x:c r="H1576" s="40"/>
    </x:row>
    <x:row r="1577">
      <x:c r="B1577" s="40"/>
      <x:c r="C1577" s="40"/>
      <x:c r="D1577" s="40"/>
      <x:c r="E1577" s="40"/>
      <x:c r="F1577" s="40"/>
      <x:c r="G1577" s="40"/>
      <x:c r="H1577" s="40"/>
    </x:row>
    <x:row r="1578">
      <x:c r="B1578" s="40"/>
      <x:c r="C1578" s="40"/>
      <x:c r="D1578" s="40"/>
      <x:c r="E1578" s="40"/>
      <x:c r="F1578" s="40"/>
      <x:c r="G1578" s="40"/>
      <x:c r="H1578" s="40"/>
    </x:row>
    <x:row r="1579">
      <x:c r="B1579" s="40"/>
      <x:c r="C1579" s="40"/>
      <x:c r="D1579" s="40"/>
      <x:c r="E1579" s="40"/>
      <x:c r="F1579" s="40"/>
      <x:c r="G1579" s="40"/>
      <x:c r="H1579" s="40"/>
    </x:row>
    <x:row r="1580">
      <x:c r="B1580" s="40"/>
      <x:c r="C1580" s="40"/>
      <x:c r="D1580" s="40"/>
      <x:c r="E1580" s="40"/>
      <x:c r="F1580" s="40"/>
      <x:c r="G1580" s="40"/>
      <x:c r="H1580" s="40"/>
    </x:row>
    <x:row r="1581">
      <x:c r="B1581" s="40"/>
      <x:c r="C1581" s="40"/>
      <x:c r="D1581" s="40"/>
      <x:c r="E1581" s="40"/>
      <x:c r="F1581" s="40"/>
      <x:c r="G1581" s="40"/>
      <x:c r="H1581" s="40"/>
    </x:row>
    <x:row r="1582">
      <x:c r="B1582" s="40"/>
      <x:c r="C1582" s="40"/>
      <x:c r="D1582" s="40"/>
      <x:c r="E1582" s="40"/>
      <x:c r="F1582" s="40"/>
      <x:c r="G1582" s="40"/>
      <x:c r="H1582" s="40"/>
    </x:row>
    <x:row r="1583">
      <x:c r="B1583" s="40"/>
      <x:c r="C1583" s="40"/>
      <x:c r="D1583" s="40"/>
      <x:c r="E1583" s="40"/>
      <x:c r="F1583" s="40"/>
      <x:c r="G1583" s="40"/>
      <x:c r="H1583" s="40"/>
    </x:row>
    <x:row r="1584">
      <x:c r="B1584" s="40"/>
      <x:c r="C1584" s="40"/>
      <x:c r="D1584" s="40"/>
      <x:c r="E1584" s="40"/>
      <x:c r="F1584" s="40"/>
      <x:c r="G1584" s="40"/>
      <x:c r="H1584" s="40"/>
    </x:row>
    <x:row r="1585">
      <x:c r="B1585" s="40"/>
      <x:c r="C1585" s="40"/>
      <x:c r="D1585" s="40"/>
      <x:c r="E1585" s="40"/>
      <x:c r="F1585" s="40"/>
      <x:c r="G1585" s="40"/>
      <x:c r="H1585" s="40"/>
    </x:row>
    <x:row r="1586">
      <x:c r="B1586" s="40"/>
      <x:c r="C1586" s="40"/>
      <x:c r="D1586" s="40"/>
      <x:c r="E1586" s="40"/>
      <x:c r="F1586" s="40"/>
      <x:c r="G1586" s="40"/>
      <x:c r="H1586" s="40"/>
    </x:row>
    <x:row r="1587">
      <x:c r="B1587" s="40"/>
      <x:c r="C1587" s="40"/>
      <x:c r="D1587" s="40"/>
      <x:c r="E1587" s="40"/>
      <x:c r="F1587" s="40"/>
      <x:c r="G1587" s="40"/>
      <x:c r="H1587" s="40"/>
    </x:row>
    <x:row r="1588">
      <x:c r="B1588" s="40"/>
      <x:c r="C1588" s="40"/>
      <x:c r="D1588" s="40"/>
      <x:c r="E1588" s="40"/>
      <x:c r="F1588" s="40"/>
      <x:c r="G1588" s="40"/>
      <x:c r="H1588" s="40"/>
    </x:row>
    <x:row r="1589">
      <x:c r="B1589" s="40"/>
      <x:c r="C1589" s="40"/>
      <x:c r="D1589" s="40"/>
      <x:c r="E1589" s="40"/>
      <x:c r="F1589" s="40"/>
      <x:c r="G1589" s="40"/>
      <x:c r="H1589" s="40"/>
    </x:row>
    <x:row r="1590">
      <x:c r="B1590" s="40"/>
      <x:c r="C1590" s="40"/>
      <x:c r="D1590" s="40"/>
      <x:c r="E1590" s="40"/>
      <x:c r="F1590" s="40"/>
      <x:c r="G1590" s="40"/>
      <x:c r="H1590" s="40"/>
    </x:row>
    <x:row r="1591">
      <x:c r="B1591" s="40"/>
      <x:c r="C1591" s="40"/>
      <x:c r="D1591" s="40"/>
      <x:c r="E1591" s="40"/>
      <x:c r="F1591" s="40"/>
      <x:c r="G1591" s="40"/>
      <x:c r="H1591" s="40"/>
    </x:row>
    <x:row r="1592">
      <x:c r="B1592" s="40"/>
      <x:c r="C1592" s="40"/>
      <x:c r="D1592" s="40"/>
      <x:c r="E1592" s="40"/>
      <x:c r="F1592" s="40"/>
      <x:c r="G1592" s="40"/>
      <x:c r="H1592" s="40"/>
    </x:row>
    <x:row r="1593">
      <x:c r="B1593" s="40"/>
      <x:c r="C1593" s="40"/>
      <x:c r="D1593" s="40"/>
      <x:c r="E1593" s="40"/>
      <x:c r="F1593" s="40"/>
      <x:c r="G1593" s="40"/>
      <x:c r="H1593" s="40"/>
    </x:row>
    <x:row r="1594">
      <x:c r="B1594" s="40"/>
      <x:c r="C1594" s="40"/>
      <x:c r="D1594" s="40"/>
      <x:c r="E1594" s="40"/>
      <x:c r="F1594" s="40"/>
      <x:c r="G1594" s="40"/>
      <x:c r="H1594" s="40"/>
    </x:row>
    <x:row r="1595">
      <x:c r="B1595" s="40"/>
      <x:c r="C1595" s="40"/>
      <x:c r="D1595" s="40"/>
      <x:c r="E1595" s="40"/>
      <x:c r="F1595" s="40"/>
      <x:c r="G1595" s="40"/>
      <x:c r="H1595" s="40"/>
    </x:row>
    <x:row r="1596">
      <x:c r="B1596" s="40"/>
      <x:c r="C1596" s="40"/>
      <x:c r="D1596" s="40"/>
      <x:c r="E1596" s="40"/>
      <x:c r="F1596" s="40"/>
      <x:c r="G1596" s="40"/>
      <x:c r="H1596" s="40"/>
    </x:row>
    <x:row r="1597">
      <x:c r="B1597" s="40"/>
      <x:c r="C1597" s="40"/>
      <x:c r="D1597" s="40"/>
      <x:c r="E1597" s="40"/>
      <x:c r="F1597" s="40"/>
      <x:c r="G1597" s="40"/>
      <x:c r="H1597" s="40"/>
    </x:row>
    <x:row r="1598">
      <x:c r="B1598" s="40"/>
      <x:c r="C1598" s="40"/>
      <x:c r="D1598" s="40"/>
      <x:c r="E1598" s="40"/>
      <x:c r="F1598" s="40"/>
      <x:c r="G1598" s="40"/>
      <x:c r="H1598" s="40"/>
    </x:row>
    <x:row r="1599">
      <x:c r="B1599" s="40"/>
      <x:c r="C1599" s="40"/>
      <x:c r="D1599" s="40"/>
      <x:c r="E1599" s="40"/>
      <x:c r="F1599" s="40"/>
      <x:c r="G1599" s="40"/>
      <x:c r="H1599" s="40"/>
    </x:row>
    <x:row r="1600">
      <x:c r="B1600" s="40"/>
      <x:c r="C1600" s="40"/>
      <x:c r="D1600" s="40"/>
      <x:c r="E1600" s="40"/>
      <x:c r="F1600" s="40"/>
      <x:c r="G1600" s="40"/>
      <x:c r="H1600" s="40"/>
    </x:row>
    <x:row r="1601">
      <x:c r="B1601" s="40"/>
      <x:c r="C1601" s="40"/>
      <x:c r="D1601" s="40"/>
      <x:c r="E1601" s="40"/>
      <x:c r="F1601" s="40"/>
      <x:c r="G1601" s="40"/>
      <x:c r="H1601" s="40"/>
    </x:row>
    <x:row r="1602">
      <x:c r="B1602" s="40"/>
      <x:c r="C1602" s="40"/>
      <x:c r="D1602" s="40"/>
      <x:c r="E1602" s="40"/>
      <x:c r="F1602" s="40"/>
      <x:c r="G1602" s="40"/>
      <x:c r="H1602" s="40"/>
    </x:row>
    <x:row r="1603">
      <x:c r="B1603" s="40"/>
      <x:c r="C1603" s="40"/>
      <x:c r="D1603" s="40"/>
      <x:c r="E1603" s="40"/>
      <x:c r="F1603" s="40"/>
      <x:c r="G1603" s="40"/>
      <x:c r="H1603" s="40"/>
    </x:row>
    <x:row r="1604">
      <x:c r="B1604" s="40"/>
      <x:c r="C1604" s="40"/>
      <x:c r="D1604" s="40"/>
      <x:c r="E1604" s="40"/>
      <x:c r="F1604" s="40"/>
      <x:c r="G1604" s="40"/>
      <x:c r="H1604" s="40"/>
    </x:row>
    <x:row r="1605">
      <x:c r="B1605" s="40"/>
      <x:c r="C1605" s="40"/>
      <x:c r="D1605" s="40"/>
      <x:c r="E1605" s="40"/>
      <x:c r="F1605" s="40"/>
      <x:c r="G1605" s="40"/>
      <x:c r="H1605" s="40"/>
    </x:row>
    <x:row r="1606">
      <x:c r="B1606" s="40"/>
      <x:c r="C1606" s="40"/>
      <x:c r="D1606" s="40"/>
      <x:c r="E1606" s="40"/>
      <x:c r="F1606" s="40"/>
      <x:c r="G1606" s="40"/>
      <x:c r="H1606" s="40"/>
    </x:row>
    <x:row r="1607">
      <x:c r="B1607" s="40"/>
      <x:c r="C1607" s="40"/>
      <x:c r="D1607" s="40"/>
      <x:c r="E1607" s="40"/>
      <x:c r="F1607" s="40"/>
      <x:c r="G1607" s="40"/>
      <x:c r="H1607" s="40"/>
    </x:row>
    <x:row r="1608">
      <x:c r="B1608" s="40"/>
      <x:c r="C1608" s="40"/>
      <x:c r="D1608" s="40"/>
      <x:c r="E1608" s="40"/>
      <x:c r="F1608" s="40"/>
      <x:c r="G1608" s="40"/>
      <x:c r="H1608" s="40"/>
    </x:row>
    <x:row r="1609">
      <x:c r="B1609" s="40"/>
      <x:c r="C1609" s="40"/>
      <x:c r="D1609" s="40"/>
      <x:c r="E1609" s="40"/>
      <x:c r="F1609" s="40"/>
      <x:c r="G1609" s="40"/>
      <x:c r="H1609" s="40"/>
    </x:row>
    <x:row r="1610">
      <x:c r="B1610" s="40"/>
      <x:c r="C1610" s="40"/>
      <x:c r="D1610" s="40"/>
      <x:c r="E1610" s="40"/>
      <x:c r="F1610" s="40"/>
      <x:c r="G1610" s="40"/>
      <x:c r="H1610" s="40"/>
    </x:row>
    <x:row r="1611">
      <x:c r="B1611" s="40"/>
      <x:c r="C1611" s="40"/>
      <x:c r="D1611" s="40"/>
      <x:c r="E1611" s="40"/>
      <x:c r="F1611" s="40"/>
      <x:c r="G1611" s="40"/>
      <x:c r="H1611" s="40"/>
    </x:row>
    <x:row r="1612">
      <x:c r="B1612" s="40"/>
      <x:c r="C1612" s="40"/>
      <x:c r="D1612" s="40"/>
      <x:c r="E1612" s="40"/>
      <x:c r="F1612" s="40"/>
      <x:c r="G1612" s="40"/>
      <x:c r="H1612" s="40"/>
    </x:row>
    <x:row r="1613">
      <x:c r="B1613" s="40"/>
      <x:c r="C1613" s="40"/>
      <x:c r="D1613" s="40"/>
      <x:c r="E1613" s="40"/>
      <x:c r="F1613" s="40"/>
      <x:c r="G1613" s="40"/>
      <x:c r="H1613" s="40"/>
    </x:row>
    <x:row r="1614">
      <x:c r="B1614" s="40"/>
      <x:c r="C1614" s="40"/>
      <x:c r="D1614" s="40"/>
      <x:c r="E1614" s="40"/>
      <x:c r="F1614" s="40"/>
      <x:c r="G1614" s="40"/>
      <x:c r="H1614" s="40"/>
    </x:row>
    <x:row r="1615">
      <x:c r="B1615" s="40"/>
      <x:c r="C1615" s="40"/>
      <x:c r="D1615" s="40"/>
      <x:c r="E1615" s="40"/>
      <x:c r="F1615" s="40"/>
      <x:c r="G1615" s="40"/>
      <x:c r="H1615" s="40"/>
    </x:row>
    <x:row r="1616">
      <x:c r="B1616" s="40"/>
      <x:c r="C1616" s="40"/>
      <x:c r="D1616" s="40"/>
      <x:c r="E1616" s="40"/>
      <x:c r="F1616" s="40"/>
      <x:c r="G1616" s="40"/>
      <x:c r="H1616" s="40"/>
    </x:row>
    <x:row r="1617">
      <x:c r="B1617" s="40"/>
      <x:c r="C1617" s="40"/>
      <x:c r="D1617" s="40"/>
      <x:c r="E1617" s="40"/>
      <x:c r="F1617" s="40"/>
      <x:c r="G1617" s="40"/>
      <x:c r="H1617" s="40"/>
    </x:row>
    <x:row r="1618">
      <x:c r="B1618" s="40"/>
      <x:c r="C1618" s="40"/>
      <x:c r="D1618" s="40"/>
      <x:c r="E1618" s="40"/>
      <x:c r="F1618" s="40"/>
      <x:c r="G1618" s="40"/>
      <x:c r="H1618" s="40"/>
    </x:row>
    <x:row r="1619">
      <x:c r="B1619" s="40"/>
      <x:c r="C1619" s="40"/>
      <x:c r="D1619" s="40"/>
      <x:c r="E1619" s="40"/>
      <x:c r="F1619" s="40"/>
      <x:c r="G1619" s="40"/>
      <x:c r="H1619" s="40"/>
    </x:row>
    <x:row r="1620">
      <x:c r="B1620" s="40"/>
      <x:c r="C1620" s="40"/>
      <x:c r="D1620" s="40"/>
      <x:c r="E1620" s="40"/>
      <x:c r="F1620" s="40"/>
      <x:c r="G1620" s="40"/>
      <x:c r="H1620" s="40"/>
    </x:row>
    <x:row r="1621">
      <x:c r="B1621" s="40"/>
      <x:c r="C1621" s="40"/>
      <x:c r="D1621" s="40"/>
      <x:c r="E1621" s="40"/>
      <x:c r="F1621" s="40"/>
      <x:c r="G1621" s="40"/>
      <x:c r="H1621" s="40"/>
    </x:row>
    <x:row r="1622">
      <x:c r="B1622" s="40"/>
      <x:c r="C1622" s="40"/>
      <x:c r="D1622" s="40"/>
      <x:c r="E1622" s="40"/>
      <x:c r="F1622" s="40"/>
      <x:c r="G1622" s="40"/>
      <x:c r="H1622" s="40"/>
    </x:row>
    <x:row r="1623">
      <x:c r="B1623" s="40"/>
      <x:c r="C1623" s="40"/>
      <x:c r="D1623" s="40"/>
      <x:c r="E1623" s="40"/>
      <x:c r="F1623" s="40"/>
      <x:c r="G1623" s="40"/>
      <x:c r="H1623" s="40"/>
    </x:row>
    <x:row r="1624">
      <x:c r="B1624" s="40"/>
      <x:c r="C1624" s="40"/>
      <x:c r="D1624" s="40"/>
      <x:c r="E1624" s="40"/>
      <x:c r="F1624" s="40"/>
      <x:c r="G1624" s="40"/>
      <x:c r="H1624" s="40"/>
    </x:row>
    <x:row r="1625">
      <x:c r="B1625" s="40"/>
      <x:c r="C1625" s="40"/>
      <x:c r="D1625" s="40"/>
      <x:c r="E1625" s="40"/>
      <x:c r="F1625" s="40"/>
      <x:c r="G1625" s="40"/>
      <x:c r="H1625" s="40"/>
    </x:row>
    <x:row r="1626">
      <x:c r="B1626" s="40"/>
      <x:c r="C1626" s="40"/>
      <x:c r="D1626" s="40"/>
      <x:c r="E1626" s="40"/>
      <x:c r="F1626" s="40"/>
      <x:c r="G1626" s="40"/>
      <x:c r="H1626" s="40"/>
    </x:row>
    <x:row r="1627">
      <x:c r="B1627" s="40"/>
      <x:c r="C1627" s="40"/>
      <x:c r="D1627" s="40"/>
      <x:c r="E1627" s="40"/>
      <x:c r="F1627" s="40"/>
      <x:c r="G1627" s="40"/>
      <x:c r="H1627" s="40"/>
    </x:row>
    <x:row r="1628">
      <x:c r="B1628" s="40"/>
      <x:c r="C1628" s="40"/>
      <x:c r="D1628" s="40"/>
      <x:c r="E1628" s="40"/>
      <x:c r="F1628" s="40"/>
      <x:c r="G1628" s="40"/>
      <x:c r="H1628" s="40"/>
    </x:row>
    <x:row r="1629">
      <x:c r="B1629" s="40"/>
      <x:c r="C1629" s="40"/>
      <x:c r="D1629" s="40"/>
      <x:c r="E1629" s="40"/>
      <x:c r="F1629" s="40"/>
      <x:c r="G1629" s="40"/>
      <x:c r="H1629" s="40"/>
    </x:row>
    <x:row r="1630">
      <x:c r="B1630" s="40"/>
      <x:c r="C1630" s="40"/>
      <x:c r="D1630" s="40"/>
      <x:c r="E1630" s="40"/>
      <x:c r="F1630" s="40"/>
      <x:c r="G1630" s="40"/>
      <x:c r="H1630" s="40"/>
    </x:row>
    <x:row r="1631">
      <x:c r="B1631" s="40"/>
      <x:c r="C1631" s="40"/>
      <x:c r="D1631" s="40"/>
      <x:c r="E1631" s="40"/>
      <x:c r="F1631" s="40"/>
      <x:c r="G1631" s="40"/>
      <x:c r="H1631" s="40"/>
    </x:row>
    <x:row r="1632">
      <x:c r="B1632" s="40"/>
      <x:c r="C1632" s="40"/>
      <x:c r="D1632" s="40"/>
      <x:c r="E1632" s="40"/>
      <x:c r="F1632" s="40"/>
      <x:c r="G1632" s="40"/>
      <x:c r="H1632" s="40"/>
    </x:row>
    <x:row r="1633">
      <x:c r="B1633" s="40"/>
      <x:c r="C1633" s="40"/>
      <x:c r="D1633" s="40"/>
      <x:c r="E1633" s="40"/>
      <x:c r="F1633" s="40"/>
      <x:c r="G1633" s="40"/>
      <x:c r="H1633" s="40"/>
    </x:row>
    <x:row r="1634">
      <x:c r="B1634" s="40"/>
      <x:c r="C1634" s="40"/>
      <x:c r="D1634" s="40"/>
      <x:c r="E1634" s="40"/>
      <x:c r="F1634" s="40"/>
      <x:c r="G1634" s="40"/>
      <x:c r="H1634" s="40"/>
    </x:row>
    <x:row r="1635">
      <x:c r="B1635" s="40"/>
      <x:c r="C1635" s="40"/>
      <x:c r="D1635" s="40"/>
      <x:c r="E1635" s="40"/>
      <x:c r="F1635" s="40"/>
      <x:c r="G1635" s="40"/>
      <x:c r="H1635" s="40"/>
    </x:row>
    <x:row r="1636">
      <x:c r="B1636" s="40"/>
      <x:c r="C1636" s="40"/>
      <x:c r="D1636" s="40"/>
      <x:c r="E1636" s="40"/>
      <x:c r="F1636" s="40"/>
      <x:c r="G1636" s="40"/>
      <x:c r="H1636" s="40"/>
    </x:row>
    <x:row r="1637">
      <x:c r="B1637" s="40"/>
      <x:c r="C1637" s="40"/>
      <x:c r="D1637" s="40"/>
      <x:c r="E1637" s="40"/>
      <x:c r="F1637" s="40"/>
      <x:c r="G1637" s="40"/>
      <x:c r="H1637" s="40"/>
    </x:row>
    <x:row r="1638">
      <x:c r="B1638" s="40"/>
      <x:c r="C1638" s="40"/>
      <x:c r="D1638" s="40"/>
      <x:c r="E1638" s="40"/>
      <x:c r="F1638" s="40"/>
      <x:c r="G1638" s="40"/>
      <x:c r="H1638" s="40"/>
    </x:row>
    <x:row r="1639">
      <x:c r="B1639" s="40"/>
      <x:c r="C1639" s="40"/>
      <x:c r="D1639" s="40"/>
      <x:c r="E1639" s="40"/>
      <x:c r="F1639" s="40"/>
      <x:c r="G1639" s="40"/>
      <x:c r="H1639" s="40"/>
    </x:row>
    <x:row r="1640">
      <x:c r="B1640" s="40"/>
      <x:c r="C1640" s="40"/>
      <x:c r="D1640" s="40"/>
      <x:c r="E1640" s="40"/>
      <x:c r="F1640" s="40"/>
      <x:c r="G1640" s="40"/>
      <x:c r="H1640" s="40"/>
    </x:row>
    <x:row r="1641">
      <x:c r="B1641" s="40"/>
      <x:c r="C1641" s="40"/>
      <x:c r="D1641" s="40"/>
      <x:c r="E1641" s="40"/>
      <x:c r="F1641" s="40"/>
      <x:c r="G1641" s="40"/>
      <x:c r="H1641" s="40"/>
    </x:row>
    <x:row r="1642">
      <x:c r="B1642" s="40"/>
      <x:c r="C1642" s="40"/>
      <x:c r="D1642" s="40"/>
      <x:c r="E1642" s="40"/>
      <x:c r="F1642" s="40"/>
      <x:c r="G1642" s="40"/>
      <x:c r="H1642" s="40"/>
    </x:row>
    <x:row r="1643">
      <x:c r="B1643" s="40"/>
      <x:c r="C1643" s="40"/>
      <x:c r="D1643" s="40"/>
      <x:c r="E1643" s="40"/>
      <x:c r="F1643" s="40"/>
      <x:c r="G1643" s="40"/>
      <x:c r="H1643" s="40"/>
    </x:row>
    <x:row r="1644">
      <x:c r="B1644" s="40"/>
      <x:c r="C1644" s="40"/>
      <x:c r="D1644" s="40"/>
      <x:c r="E1644" s="40"/>
      <x:c r="F1644" s="40"/>
      <x:c r="G1644" s="40"/>
      <x:c r="H1644" s="40"/>
    </x:row>
    <x:row r="1645">
      <x:c r="B1645" s="40"/>
      <x:c r="C1645" s="40"/>
      <x:c r="D1645" s="40"/>
      <x:c r="E1645" s="40"/>
      <x:c r="F1645" s="40"/>
      <x:c r="G1645" s="40"/>
      <x:c r="H1645" s="40"/>
    </x:row>
    <x:row r="1646">
      <x:c r="B1646" s="40"/>
      <x:c r="C1646" s="40"/>
      <x:c r="D1646" s="40"/>
      <x:c r="E1646" s="40"/>
      <x:c r="F1646" s="40"/>
      <x:c r="G1646" s="40"/>
      <x:c r="H1646" s="40"/>
    </x:row>
    <x:row r="1647">
      <x:c r="B1647" s="40"/>
      <x:c r="C1647" s="40"/>
      <x:c r="D1647" s="40"/>
      <x:c r="E1647" s="40"/>
      <x:c r="F1647" s="40"/>
      <x:c r="G1647" s="40"/>
      <x:c r="H1647" s="40"/>
    </x:row>
    <x:row r="1648">
      <x:c r="B1648" s="40"/>
      <x:c r="C1648" s="40"/>
      <x:c r="D1648" s="40"/>
      <x:c r="E1648" s="40"/>
      <x:c r="F1648" s="40"/>
      <x:c r="G1648" s="40"/>
      <x:c r="H1648" s="40"/>
    </x:row>
    <x:row r="1649">
      <x:c r="B1649" s="40"/>
      <x:c r="C1649" s="40"/>
      <x:c r="D1649" s="40"/>
      <x:c r="E1649" s="40"/>
      <x:c r="F1649" s="40"/>
      <x:c r="G1649" s="40"/>
      <x:c r="H1649" s="40"/>
    </x:row>
    <x:row r="1650">
      <x:c r="B1650" s="40"/>
      <x:c r="C1650" s="40"/>
      <x:c r="D1650" s="40"/>
      <x:c r="E1650" s="40"/>
      <x:c r="F1650" s="40"/>
      <x:c r="G1650" s="40"/>
      <x:c r="H1650" s="40"/>
    </x:row>
    <x:row r="1651">
      <x:c r="B1651" s="40"/>
      <x:c r="C1651" s="40"/>
      <x:c r="D1651" s="40"/>
      <x:c r="E1651" s="40"/>
      <x:c r="F1651" s="40"/>
      <x:c r="G1651" s="40"/>
      <x:c r="H1651" s="40"/>
    </x:row>
    <x:row r="1652">
      <x:c r="B1652" s="40"/>
      <x:c r="C1652" s="40"/>
      <x:c r="D1652" s="40"/>
      <x:c r="E1652" s="40"/>
      <x:c r="F1652" s="40"/>
      <x:c r="G1652" s="40"/>
      <x:c r="H1652" s="40"/>
    </x:row>
    <x:row r="1653">
      <x:c r="B1653" s="40"/>
      <x:c r="C1653" s="40"/>
      <x:c r="D1653" s="40"/>
      <x:c r="E1653" s="40"/>
      <x:c r="F1653" s="40"/>
      <x:c r="G1653" s="40"/>
      <x:c r="H1653" s="40"/>
    </x:row>
    <x:row r="1654">
      <x:c r="B1654" s="40"/>
      <x:c r="C1654" s="40"/>
      <x:c r="D1654" s="40"/>
      <x:c r="E1654" s="40"/>
      <x:c r="F1654" s="40"/>
      <x:c r="G1654" s="40"/>
      <x:c r="H1654" s="40"/>
    </x:row>
    <x:row r="1655">
      <x:c r="B1655" s="40"/>
      <x:c r="C1655" s="40"/>
      <x:c r="D1655" s="40"/>
      <x:c r="E1655" s="40"/>
      <x:c r="F1655" s="40"/>
      <x:c r="G1655" s="40"/>
      <x:c r="H1655" s="40"/>
    </x:row>
    <x:row r="1656">
      <x:c r="B1656" s="40"/>
      <x:c r="C1656" s="40"/>
      <x:c r="D1656" s="40"/>
      <x:c r="E1656" s="40"/>
      <x:c r="F1656" s="40"/>
      <x:c r="G1656" s="40"/>
      <x:c r="H1656" s="40"/>
    </x:row>
    <x:row r="1657">
      <x:c r="B1657" s="40"/>
      <x:c r="C1657" s="40"/>
      <x:c r="D1657" s="40"/>
      <x:c r="E1657" s="40"/>
      <x:c r="F1657" s="40"/>
      <x:c r="G1657" s="40"/>
      <x:c r="H1657" s="40"/>
    </x:row>
    <x:row r="1658">
      <x:c r="B1658" s="40"/>
      <x:c r="C1658" s="40"/>
      <x:c r="D1658" s="40"/>
      <x:c r="E1658" s="40"/>
      <x:c r="F1658" s="40"/>
      <x:c r="G1658" s="40"/>
      <x:c r="H1658" s="40"/>
    </x:row>
    <x:row r="1659">
      <x:c r="B1659" s="40"/>
      <x:c r="C1659" s="40"/>
      <x:c r="D1659" s="40"/>
      <x:c r="E1659" s="40"/>
      <x:c r="F1659" s="40"/>
      <x:c r="G1659" s="40"/>
      <x:c r="H1659" s="40"/>
    </x:row>
    <x:row r="1660">
      <x:c r="B1660" s="40"/>
      <x:c r="C1660" s="40"/>
      <x:c r="D1660" s="40"/>
      <x:c r="E1660" s="40"/>
      <x:c r="F1660" s="40"/>
      <x:c r="G1660" s="40"/>
      <x:c r="H1660" s="40"/>
    </x:row>
    <x:row r="1661">
      <x:c r="B1661" s="40"/>
      <x:c r="C1661" s="40"/>
      <x:c r="D1661" s="40"/>
      <x:c r="E1661" s="40"/>
      <x:c r="F1661" s="40"/>
      <x:c r="G1661" s="40"/>
      <x:c r="H1661" s="40"/>
    </x:row>
    <x:row r="1662">
      <x:c r="B1662" s="40"/>
      <x:c r="C1662" s="40"/>
      <x:c r="D1662" s="40"/>
      <x:c r="E1662" s="40"/>
      <x:c r="F1662" s="40"/>
      <x:c r="G1662" s="40"/>
      <x:c r="H1662" s="40"/>
    </x:row>
    <x:row r="1663">
      <x:c r="B1663" s="40"/>
      <x:c r="C1663" s="40"/>
      <x:c r="D1663" s="40"/>
      <x:c r="E1663" s="40"/>
      <x:c r="F1663" s="40"/>
      <x:c r="G1663" s="40"/>
      <x:c r="H1663" s="40"/>
    </x:row>
    <x:row r="1664">
      <x:c r="B1664" s="40"/>
      <x:c r="C1664" s="40"/>
      <x:c r="D1664" s="40"/>
      <x:c r="E1664" s="40"/>
      <x:c r="F1664" s="40"/>
      <x:c r="G1664" s="40"/>
      <x:c r="H1664" s="40"/>
    </x:row>
    <x:row r="1665">
      <x:c r="B1665" s="40"/>
      <x:c r="C1665" s="40"/>
      <x:c r="D1665" s="40"/>
      <x:c r="E1665" s="40"/>
      <x:c r="F1665" s="40"/>
      <x:c r="G1665" s="40"/>
      <x:c r="H1665" s="40"/>
    </x:row>
    <x:row r="1666">
      <x:c r="B1666" s="40"/>
      <x:c r="C1666" s="40"/>
      <x:c r="D1666" s="40"/>
      <x:c r="E1666" s="40"/>
      <x:c r="F1666" s="40"/>
      <x:c r="G1666" s="40"/>
      <x:c r="H1666" s="40"/>
    </x:row>
    <x:row r="1667">
      <x:c r="B1667" s="40"/>
      <x:c r="C1667" s="40"/>
      <x:c r="D1667" s="40"/>
      <x:c r="E1667" s="40"/>
      <x:c r="F1667" s="40"/>
      <x:c r="G1667" s="40"/>
      <x:c r="H1667" s="40"/>
    </x:row>
    <x:row r="1668">
      <x:c r="B1668" s="40"/>
      <x:c r="C1668" s="40"/>
      <x:c r="D1668" s="40"/>
      <x:c r="E1668" s="40"/>
      <x:c r="F1668" s="40"/>
      <x:c r="G1668" s="40"/>
      <x:c r="H1668" s="40"/>
    </x:row>
    <x:row r="1669">
      <x:c r="B1669" s="40"/>
      <x:c r="C1669" s="40"/>
      <x:c r="D1669" s="40"/>
      <x:c r="E1669" s="40"/>
      <x:c r="F1669" s="40"/>
      <x:c r="G1669" s="40"/>
      <x:c r="H1669" s="40"/>
    </x:row>
    <x:row r="1670">
      <x:c r="B1670" s="40"/>
      <x:c r="C1670" s="40"/>
      <x:c r="D1670" s="40"/>
      <x:c r="E1670" s="40"/>
      <x:c r="F1670" s="40"/>
      <x:c r="G1670" s="40"/>
      <x:c r="H1670" s="40"/>
    </x:row>
    <x:row r="1671">
      <x:c r="B1671" s="40"/>
      <x:c r="C1671" s="40"/>
      <x:c r="D1671" s="40"/>
      <x:c r="E1671" s="40"/>
      <x:c r="F1671" s="40"/>
      <x:c r="G1671" s="40"/>
      <x:c r="H1671" s="40"/>
    </x:row>
    <x:row r="1672">
      <x:c r="B1672" s="40"/>
      <x:c r="C1672" s="40"/>
      <x:c r="D1672" s="40"/>
      <x:c r="E1672" s="40"/>
      <x:c r="F1672" s="40"/>
      <x:c r="G1672" s="40"/>
      <x:c r="H1672" s="40"/>
    </x:row>
    <x:row r="1673">
      <x:c r="B1673" s="40"/>
      <x:c r="C1673" s="40"/>
      <x:c r="D1673" s="40"/>
      <x:c r="E1673" s="40"/>
      <x:c r="F1673" s="40"/>
      <x:c r="G1673" s="40"/>
      <x:c r="H1673" s="40"/>
    </x:row>
    <x:row r="1674">
      <x:c r="B1674" s="40"/>
      <x:c r="C1674" s="40"/>
      <x:c r="D1674" s="40"/>
      <x:c r="E1674" s="40"/>
      <x:c r="F1674" s="40"/>
      <x:c r="G1674" s="40"/>
      <x:c r="H1674" s="40"/>
    </x:row>
    <x:row r="1675">
      <x:c r="B1675" s="40"/>
      <x:c r="C1675" s="40"/>
      <x:c r="D1675" s="40"/>
      <x:c r="E1675" s="40"/>
      <x:c r="F1675" s="40"/>
      <x:c r="G1675" s="40"/>
      <x:c r="H1675" s="40"/>
    </x:row>
    <x:row r="1676">
      <x:c r="B1676" s="40"/>
      <x:c r="C1676" s="40"/>
      <x:c r="D1676" s="40"/>
      <x:c r="E1676" s="40"/>
      <x:c r="F1676" s="40"/>
      <x:c r="G1676" s="40"/>
      <x:c r="H1676" s="40"/>
    </x:row>
    <x:row r="1677">
      <x:c r="B1677" s="40"/>
      <x:c r="C1677" s="40"/>
      <x:c r="D1677" s="40"/>
      <x:c r="E1677" s="40"/>
      <x:c r="F1677" s="40"/>
      <x:c r="G1677" s="40"/>
      <x:c r="H1677" s="40"/>
    </x:row>
    <x:row r="1678">
      <x:c r="B1678" s="40"/>
      <x:c r="C1678" s="40"/>
      <x:c r="D1678" s="40"/>
      <x:c r="E1678" s="40"/>
      <x:c r="F1678" s="40"/>
      <x:c r="G1678" s="40"/>
      <x:c r="H1678" s="40"/>
    </x:row>
    <x:row r="1679">
      <x:c r="B1679" s="40"/>
      <x:c r="C1679" s="40"/>
      <x:c r="D1679" s="40"/>
      <x:c r="E1679" s="40"/>
      <x:c r="F1679" s="40"/>
      <x:c r="G1679" s="40"/>
      <x:c r="H1679" s="40"/>
    </x:row>
    <x:row r="1680">
      <x:c r="B1680" s="40"/>
      <x:c r="C1680" s="40"/>
      <x:c r="D1680" s="40"/>
      <x:c r="E1680" s="40"/>
      <x:c r="F1680" s="40"/>
      <x:c r="G1680" s="40"/>
      <x:c r="H1680" s="40"/>
    </x:row>
    <x:row r="1681">
      <x:c r="B1681" s="40"/>
      <x:c r="C1681" s="40"/>
      <x:c r="D1681" s="40"/>
      <x:c r="E1681" s="40"/>
      <x:c r="F1681" s="40"/>
      <x:c r="G1681" s="40"/>
      <x:c r="H1681" s="40"/>
    </x:row>
    <x:row r="1682">
      <x:c r="B1682" s="40"/>
      <x:c r="C1682" s="40"/>
      <x:c r="D1682" s="40"/>
      <x:c r="E1682" s="40"/>
      <x:c r="F1682" s="40"/>
      <x:c r="G1682" s="40"/>
      <x:c r="H1682" s="40"/>
    </x:row>
    <x:row r="1683">
      <x:c r="B1683" s="40"/>
      <x:c r="C1683" s="40"/>
      <x:c r="D1683" s="40"/>
      <x:c r="E1683" s="40"/>
      <x:c r="F1683" s="40"/>
      <x:c r="G1683" s="40"/>
      <x:c r="H1683" s="40"/>
    </x:row>
    <x:row r="1684">
      <x:c r="B1684" s="40"/>
      <x:c r="C1684" s="40"/>
      <x:c r="D1684" s="40"/>
      <x:c r="E1684" s="40"/>
      <x:c r="F1684" s="40"/>
      <x:c r="G1684" s="40"/>
      <x:c r="H1684" s="40"/>
    </x:row>
    <x:row r="1685">
      <x:c r="B1685" s="40"/>
      <x:c r="C1685" s="40"/>
      <x:c r="D1685" s="40"/>
      <x:c r="E1685" s="40"/>
      <x:c r="F1685" s="40"/>
      <x:c r="G1685" s="40"/>
      <x:c r="H1685" s="40"/>
    </x:row>
    <x:row r="1686">
      <x:c r="B1686" s="40"/>
      <x:c r="C1686" s="40"/>
      <x:c r="D1686" s="40"/>
      <x:c r="E1686" s="40"/>
      <x:c r="F1686" s="40"/>
      <x:c r="G1686" s="40"/>
      <x:c r="H1686" s="40"/>
    </x:row>
    <x:row r="1687">
      <x:c r="B1687" s="40"/>
      <x:c r="C1687" s="40"/>
      <x:c r="D1687" s="40"/>
      <x:c r="E1687" s="40"/>
      <x:c r="F1687" s="40"/>
      <x:c r="G1687" s="40"/>
      <x:c r="H1687" s="40"/>
    </x:row>
    <x:row r="1688">
      <x:c r="B1688" s="40"/>
      <x:c r="C1688" s="40"/>
      <x:c r="D1688" s="40"/>
      <x:c r="E1688" s="40"/>
      <x:c r="F1688" s="40"/>
      <x:c r="G1688" s="40"/>
      <x:c r="H1688" s="40"/>
    </x:row>
    <x:row r="1689">
      <x:c r="B1689" s="40"/>
      <x:c r="C1689" s="40"/>
      <x:c r="D1689" s="40"/>
      <x:c r="E1689" s="40"/>
      <x:c r="F1689" s="40"/>
      <x:c r="G1689" s="40"/>
      <x:c r="H1689" s="40"/>
    </x:row>
    <x:row r="1690">
      <x:c r="B1690" s="40"/>
      <x:c r="C1690" s="40"/>
      <x:c r="D1690" s="40"/>
      <x:c r="E1690" s="40"/>
      <x:c r="F1690" s="40"/>
      <x:c r="G1690" s="40"/>
      <x:c r="H1690" s="40"/>
    </x:row>
    <x:row r="1691">
      <x:c r="B1691" s="40"/>
      <x:c r="C1691" s="40"/>
      <x:c r="D1691" s="40"/>
      <x:c r="E1691" s="40"/>
      <x:c r="F1691" s="40"/>
      <x:c r="G1691" s="40"/>
      <x:c r="H1691" s="40"/>
    </x:row>
    <x:row r="1692">
      <x:c r="B1692" s="40"/>
      <x:c r="C1692" s="40"/>
      <x:c r="D1692" s="40"/>
      <x:c r="E1692" s="40"/>
      <x:c r="F1692" s="40"/>
      <x:c r="G1692" s="40"/>
      <x:c r="H1692" s="40"/>
    </x:row>
    <x:row r="1693">
      <x:c r="B1693" s="40"/>
      <x:c r="C1693" s="40"/>
      <x:c r="D1693" s="40"/>
      <x:c r="E1693" s="40"/>
      <x:c r="F1693" s="40"/>
      <x:c r="G1693" s="40"/>
      <x:c r="H1693" s="40"/>
    </x:row>
    <x:row r="1694">
      <x:c r="B1694" s="40"/>
      <x:c r="C1694" s="40"/>
      <x:c r="D1694" s="40"/>
      <x:c r="E1694" s="40"/>
      <x:c r="F1694" s="40"/>
      <x:c r="G1694" s="40"/>
      <x:c r="H1694" s="40"/>
    </x:row>
    <x:row r="1695">
      <x:c r="B1695" s="40"/>
      <x:c r="C1695" s="40"/>
      <x:c r="D1695" s="40"/>
      <x:c r="E1695" s="40"/>
      <x:c r="F1695" s="40"/>
      <x:c r="G1695" s="40"/>
      <x:c r="H1695" s="40"/>
    </x:row>
    <x:row r="1696">
      <x:c r="B1696" s="40"/>
      <x:c r="C1696" s="40"/>
      <x:c r="D1696" s="40"/>
      <x:c r="E1696" s="40"/>
      <x:c r="F1696" s="40"/>
      <x:c r="G1696" s="40"/>
      <x:c r="H1696" s="40"/>
    </x:row>
    <x:row r="1697">
      <x:c r="B1697" s="40"/>
      <x:c r="C1697" s="40"/>
      <x:c r="D1697" s="40"/>
      <x:c r="E1697" s="40"/>
      <x:c r="F1697" s="40"/>
      <x:c r="G1697" s="40"/>
      <x:c r="H1697" s="40"/>
    </x:row>
    <x:row r="1698">
      <x:c r="B1698" s="40"/>
      <x:c r="C1698" s="40"/>
      <x:c r="D1698" s="40"/>
      <x:c r="E1698" s="40"/>
      <x:c r="F1698" s="40"/>
      <x:c r="G1698" s="40"/>
      <x:c r="H1698" s="40"/>
    </x:row>
    <x:row r="1699">
      <x:c r="B1699" s="40"/>
      <x:c r="C1699" s="40"/>
      <x:c r="D1699" s="40"/>
      <x:c r="E1699" s="40"/>
      <x:c r="F1699" s="40"/>
      <x:c r="G1699" s="40"/>
      <x:c r="H1699" s="40"/>
    </x:row>
    <x:row r="1700">
      <x:c r="B1700" s="40"/>
      <x:c r="C1700" s="40"/>
      <x:c r="D1700" s="40"/>
      <x:c r="E1700" s="40"/>
      <x:c r="F1700" s="40"/>
      <x:c r="G1700" s="40"/>
      <x:c r="H1700" s="40"/>
    </x:row>
    <x:row r="1701">
      <x:c r="B1701" s="40"/>
      <x:c r="C1701" s="40"/>
      <x:c r="D1701" s="40"/>
      <x:c r="E1701" s="40"/>
      <x:c r="F1701" s="40"/>
      <x:c r="G1701" s="40"/>
      <x:c r="H1701" s="40"/>
    </x:row>
    <x:row r="1702">
      <x:c r="B1702" s="40"/>
      <x:c r="C1702" s="40"/>
      <x:c r="D1702" s="40"/>
      <x:c r="E1702" s="40"/>
      <x:c r="F1702" s="40"/>
      <x:c r="G1702" s="40"/>
      <x:c r="H1702" s="40"/>
    </x:row>
    <x:row r="1703">
      <x:c r="B1703" s="40"/>
      <x:c r="C1703" s="40"/>
      <x:c r="D1703" s="40"/>
      <x:c r="E1703" s="40"/>
      <x:c r="F1703" s="40"/>
      <x:c r="G1703" s="40"/>
      <x:c r="H1703" s="40"/>
    </x:row>
    <x:row r="1704">
      <x:c r="B1704" s="40"/>
      <x:c r="C1704" s="40"/>
      <x:c r="D1704" s="40"/>
      <x:c r="E1704" s="40"/>
      <x:c r="F1704" s="40"/>
      <x:c r="G1704" s="40"/>
      <x:c r="H1704" s="40"/>
    </x:row>
    <x:row r="1705">
      <x:c r="B1705" s="40"/>
      <x:c r="C1705" s="40"/>
      <x:c r="D1705" s="40"/>
      <x:c r="E1705" s="40"/>
      <x:c r="F1705" s="40"/>
      <x:c r="G1705" s="40"/>
      <x:c r="H1705" s="40"/>
    </x:row>
    <x:row r="1706">
      <x:c r="B1706" s="40"/>
      <x:c r="C1706" s="40"/>
      <x:c r="D1706" s="40"/>
      <x:c r="E1706" s="40"/>
      <x:c r="F1706" s="40"/>
      <x:c r="G1706" s="40"/>
      <x:c r="H1706" s="40"/>
    </x:row>
    <x:row r="1707">
      <x:c r="B1707" s="40"/>
      <x:c r="C1707" s="40"/>
      <x:c r="D1707" s="40"/>
      <x:c r="E1707" s="40"/>
      <x:c r="F1707" s="40"/>
      <x:c r="G1707" s="40"/>
      <x:c r="H1707" s="40"/>
    </x:row>
    <x:row r="1708">
      <x:c r="B1708" s="40"/>
      <x:c r="C1708" s="40"/>
      <x:c r="D1708" s="40"/>
      <x:c r="E1708" s="40"/>
      <x:c r="F1708" s="40"/>
      <x:c r="G1708" s="40"/>
      <x:c r="H1708" s="40"/>
    </x:row>
    <x:row r="1709">
      <x:c r="B1709" s="40"/>
      <x:c r="C1709" s="40"/>
      <x:c r="D1709" s="40"/>
      <x:c r="E1709" s="40"/>
      <x:c r="F1709" s="40"/>
      <x:c r="G1709" s="40"/>
      <x:c r="H1709" s="40"/>
    </x:row>
    <x:row r="1710">
      <x:c r="B1710" s="40"/>
      <x:c r="C1710" s="40"/>
      <x:c r="D1710" s="40"/>
      <x:c r="E1710" s="40"/>
      <x:c r="F1710" s="40"/>
      <x:c r="G1710" s="40"/>
      <x:c r="H1710" s="40"/>
    </x:row>
    <x:row r="1711">
      <x:c r="B1711" s="40"/>
      <x:c r="C1711" s="40"/>
      <x:c r="D1711" s="40"/>
      <x:c r="E1711" s="40"/>
      <x:c r="F1711" s="40"/>
      <x:c r="G1711" s="40"/>
      <x:c r="H1711" s="40"/>
    </x:row>
    <x:row r="1712">
      <x:c r="B1712" s="40"/>
      <x:c r="C1712" s="40"/>
      <x:c r="D1712" s="40"/>
      <x:c r="E1712" s="40"/>
      <x:c r="F1712" s="40"/>
      <x:c r="G1712" s="40"/>
      <x:c r="H1712" s="40"/>
    </x:row>
    <x:row r="1713">
      <x:c r="B1713" s="40"/>
      <x:c r="C1713" s="40"/>
      <x:c r="D1713" s="40"/>
      <x:c r="E1713" s="40"/>
      <x:c r="F1713" s="40"/>
      <x:c r="G1713" s="40"/>
      <x:c r="H1713" s="40"/>
    </x:row>
    <x:row r="1714">
      <x:c r="B1714" s="40"/>
      <x:c r="C1714" s="40"/>
      <x:c r="D1714" s="40"/>
      <x:c r="E1714" s="40"/>
      <x:c r="F1714" s="40"/>
      <x:c r="G1714" s="40"/>
      <x:c r="H1714" s="40"/>
    </x:row>
    <x:row r="1715">
      <x:c r="B1715" s="40"/>
      <x:c r="C1715" s="40"/>
      <x:c r="D1715" s="40"/>
      <x:c r="E1715" s="40"/>
      <x:c r="F1715" s="40"/>
      <x:c r="G1715" s="40"/>
      <x:c r="H1715" s="40"/>
    </x:row>
    <x:row r="1716">
      <x:c r="B1716" s="40"/>
      <x:c r="C1716" s="40"/>
      <x:c r="D1716" s="40"/>
      <x:c r="E1716" s="40"/>
      <x:c r="F1716" s="40"/>
      <x:c r="G1716" s="40"/>
      <x:c r="H1716" s="40"/>
    </x:row>
    <x:row r="1717">
      <x:c r="B1717" s="40"/>
      <x:c r="C1717" s="40"/>
      <x:c r="D1717" s="40"/>
      <x:c r="E1717" s="40"/>
      <x:c r="F1717" s="40"/>
      <x:c r="G1717" s="40"/>
      <x:c r="H1717" s="40"/>
    </x:row>
    <x:row r="1718">
      <x:c r="B1718" s="40"/>
      <x:c r="C1718" s="40"/>
      <x:c r="D1718" s="40"/>
      <x:c r="E1718" s="40"/>
      <x:c r="F1718" s="40"/>
      <x:c r="G1718" s="40"/>
      <x:c r="H1718" s="40"/>
    </x:row>
    <x:row r="1719">
      <x:c r="B1719" s="40"/>
      <x:c r="C1719" s="40"/>
      <x:c r="D1719" s="40"/>
      <x:c r="E1719" s="40"/>
      <x:c r="F1719" s="40"/>
      <x:c r="G1719" s="40"/>
      <x:c r="H1719" s="40"/>
    </x:row>
    <x:row r="1720">
      <x:c r="B1720" s="40"/>
      <x:c r="C1720" s="40"/>
      <x:c r="D1720" s="40"/>
      <x:c r="E1720" s="40"/>
      <x:c r="F1720" s="40"/>
      <x:c r="G1720" s="40"/>
      <x:c r="H1720" s="40"/>
    </x:row>
    <x:row r="1721">
      <x:c r="B1721" s="40"/>
      <x:c r="C1721" s="40"/>
      <x:c r="D1721" s="40"/>
      <x:c r="E1721" s="40"/>
      <x:c r="F1721" s="40"/>
      <x:c r="G1721" s="40"/>
      <x:c r="H1721" s="40"/>
    </x:row>
    <x:row r="1722">
      <x:c r="B1722" s="40"/>
      <x:c r="C1722" s="40"/>
      <x:c r="D1722" s="40"/>
      <x:c r="E1722" s="40"/>
      <x:c r="F1722" s="40"/>
      <x:c r="G1722" s="40"/>
      <x:c r="H1722" s="40"/>
    </x:row>
    <x:row r="1723">
      <x:c r="B1723" s="40"/>
      <x:c r="C1723" s="40"/>
      <x:c r="D1723" s="40"/>
      <x:c r="E1723" s="40"/>
      <x:c r="F1723" s="40"/>
      <x:c r="G1723" s="40"/>
      <x:c r="H1723" s="40"/>
    </x:row>
    <x:row r="1724">
      <x:c r="B1724" s="40"/>
      <x:c r="C1724" s="40"/>
      <x:c r="D1724" s="40"/>
      <x:c r="E1724" s="40"/>
      <x:c r="F1724" s="40"/>
      <x:c r="G1724" s="40"/>
      <x:c r="H1724" s="40"/>
    </x:row>
    <x:row r="1725">
      <x:c r="B1725" s="40"/>
      <x:c r="C1725" s="40"/>
      <x:c r="D1725" s="40"/>
      <x:c r="E1725" s="40"/>
      <x:c r="F1725" s="40"/>
      <x:c r="G1725" s="40"/>
      <x:c r="H1725" s="40"/>
    </x:row>
    <x:row r="1726">
      <x:c r="B1726" s="40"/>
      <x:c r="C1726" s="40"/>
      <x:c r="D1726" s="40"/>
      <x:c r="E1726" s="40"/>
      <x:c r="F1726" s="40"/>
      <x:c r="G1726" s="40"/>
      <x:c r="H1726" s="40"/>
    </x:row>
    <x:row r="1727">
      <x:c r="B1727" s="40"/>
      <x:c r="C1727" s="40"/>
      <x:c r="D1727" s="40"/>
      <x:c r="E1727" s="40"/>
      <x:c r="F1727" s="40"/>
      <x:c r="G1727" s="40"/>
      <x:c r="H1727" s="40"/>
    </x:row>
    <x:row r="1728">
      <x:c r="B1728" s="40"/>
      <x:c r="C1728" s="40"/>
      <x:c r="D1728" s="40"/>
      <x:c r="E1728" s="40"/>
      <x:c r="F1728" s="40"/>
      <x:c r="G1728" s="40"/>
      <x:c r="H1728" s="40"/>
    </x:row>
    <x:row r="1729">
      <x:c r="B1729" s="40"/>
      <x:c r="C1729" s="40"/>
      <x:c r="D1729" s="40"/>
      <x:c r="E1729" s="40"/>
      <x:c r="F1729" s="40"/>
      <x:c r="G1729" s="40"/>
      <x:c r="H1729" s="40"/>
    </x:row>
    <x:row r="1730">
      <x:c r="B1730" s="40"/>
      <x:c r="C1730" s="40"/>
      <x:c r="D1730" s="40"/>
      <x:c r="E1730" s="40"/>
      <x:c r="F1730" s="40"/>
      <x:c r="G1730" s="40"/>
      <x:c r="H1730" s="40"/>
    </x:row>
    <x:row r="1731">
      <x:c r="B1731" s="40"/>
      <x:c r="C1731" s="40"/>
      <x:c r="D1731" s="40"/>
      <x:c r="E1731" s="40"/>
      <x:c r="F1731" s="40"/>
      <x:c r="G1731" s="40"/>
      <x:c r="H1731" s="40"/>
    </x:row>
    <x:row r="1732">
      <x:c r="B1732" s="40"/>
      <x:c r="C1732" s="40"/>
      <x:c r="D1732" s="40"/>
      <x:c r="E1732" s="40"/>
      <x:c r="F1732" s="40"/>
      <x:c r="G1732" s="40"/>
      <x:c r="H1732" s="40"/>
    </x:row>
    <x:row r="1733">
      <x:c r="B1733" s="40"/>
      <x:c r="C1733" s="40"/>
      <x:c r="D1733" s="40"/>
      <x:c r="E1733" s="40"/>
      <x:c r="F1733" s="40"/>
      <x:c r="G1733" s="40"/>
      <x:c r="H1733" s="40"/>
    </x:row>
    <x:row r="1734">
      <x:c r="B1734" s="40"/>
      <x:c r="C1734" s="40"/>
      <x:c r="D1734" s="40"/>
      <x:c r="E1734" s="40"/>
      <x:c r="F1734" s="40"/>
      <x:c r="G1734" s="40"/>
      <x:c r="H1734" s="40"/>
    </x:row>
    <x:row r="1735">
      <x:c r="B1735" s="40"/>
      <x:c r="C1735" s="40"/>
      <x:c r="D1735" s="40"/>
      <x:c r="E1735" s="40"/>
      <x:c r="F1735" s="40"/>
      <x:c r="G1735" s="40"/>
      <x:c r="H1735" s="40"/>
    </x:row>
    <x:row r="1736">
      <x:c r="B1736" s="40"/>
      <x:c r="C1736" s="40"/>
      <x:c r="D1736" s="40"/>
      <x:c r="E1736" s="40"/>
      <x:c r="F1736" s="40"/>
      <x:c r="G1736" s="40"/>
      <x:c r="H1736" s="40"/>
    </x:row>
    <x:row r="1737">
      <x:c r="B1737" s="40"/>
      <x:c r="C1737" s="40"/>
      <x:c r="D1737" s="40"/>
      <x:c r="E1737" s="40"/>
      <x:c r="F1737" s="40"/>
      <x:c r="G1737" s="40"/>
      <x:c r="H1737" s="40"/>
    </x:row>
    <x:row r="1738">
      <x:c r="B1738" s="40"/>
      <x:c r="C1738" s="40"/>
      <x:c r="D1738" s="40"/>
      <x:c r="E1738" s="40"/>
      <x:c r="F1738" s="40"/>
      <x:c r="G1738" s="40"/>
      <x:c r="H1738" s="40"/>
    </x:row>
    <x:row r="1739">
      <x:c r="B1739" s="40"/>
      <x:c r="C1739" s="40"/>
      <x:c r="D1739" s="40"/>
      <x:c r="E1739" s="40"/>
      <x:c r="F1739" s="40"/>
      <x:c r="G1739" s="40"/>
      <x:c r="H1739" s="40"/>
    </x:row>
    <x:row r="1740">
      <x:c r="B1740" s="40"/>
      <x:c r="C1740" s="40"/>
      <x:c r="D1740" s="40"/>
      <x:c r="E1740" s="40"/>
      <x:c r="F1740" s="40"/>
      <x:c r="G1740" s="40"/>
      <x:c r="H1740" s="40"/>
    </x:row>
    <x:row r="1741">
      <x:c r="B1741" s="40"/>
      <x:c r="C1741" s="40"/>
      <x:c r="D1741" s="40"/>
      <x:c r="E1741" s="40"/>
      <x:c r="F1741" s="40"/>
      <x:c r="G1741" s="40"/>
      <x:c r="H1741" s="40"/>
    </x:row>
    <x:row r="1742">
      <x:c r="B1742" s="40"/>
      <x:c r="C1742" s="40"/>
      <x:c r="D1742" s="40"/>
      <x:c r="E1742" s="40"/>
      <x:c r="F1742" s="40"/>
      <x:c r="G1742" s="40"/>
      <x:c r="H1742" s="40"/>
    </x:row>
    <x:row r="1743">
      <x:c r="B1743" s="40"/>
      <x:c r="C1743" s="40"/>
      <x:c r="D1743" s="40"/>
      <x:c r="E1743" s="40"/>
      <x:c r="F1743" s="40"/>
      <x:c r="G1743" s="40"/>
      <x:c r="H1743" s="40"/>
    </x:row>
    <x:row r="1744">
      <x:c r="B1744" s="40"/>
      <x:c r="C1744" s="40"/>
      <x:c r="D1744" s="40"/>
      <x:c r="E1744" s="40"/>
      <x:c r="F1744" s="40"/>
      <x:c r="G1744" s="40"/>
      <x:c r="H1744" s="40"/>
    </x:row>
    <x:row r="1745">
      <x:c r="B1745" s="40"/>
      <x:c r="C1745" s="40"/>
      <x:c r="D1745" s="40"/>
      <x:c r="E1745" s="40"/>
      <x:c r="F1745" s="40"/>
      <x:c r="G1745" s="40"/>
      <x:c r="H1745" s="40"/>
    </x:row>
    <x:row r="1746">
      <x:c r="B1746" s="40"/>
      <x:c r="C1746" s="40"/>
      <x:c r="D1746" s="40"/>
      <x:c r="E1746" s="40"/>
      <x:c r="F1746" s="40"/>
      <x:c r="G1746" s="40"/>
      <x:c r="H1746" s="40"/>
    </x:row>
    <x:row r="1747">
      <x:c r="B1747" s="40"/>
      <x:c r="C1747" s="40"/>
      <x:c r="D1747" s="40"/>
      <x:c r="E1747" s="40"/>
      <x:c r="F1747" s="40"/>
      <x:c r="G1747" s="40"/>
      <x:c r="H1747" s="40"/>
    </x:row>
    <x:row r="1748">
      <x:c r="B1748" s="40"/>
      <x:c r="C1748" s="40"/>
      <x:c r="D1748" s="40"/>
      <x:c r="E1748" s="40"/>
      <x:c r="F1748" s="40"/>
      <x:c r="G1748" s="40"/>
      <x:c r="H1748" s="40"/>
    </x:row>
    <x:row r="1749">
      <x:c r="B1749" s="40"/>
      <x:c r="C1749" s="40"/>
      <x:c r="D1749" s="40"/>
      <x:c r="E1749" s="40"/>
      <x:c r="F1749" s="40"/>
      <x:c r="G1749" s="40"/>
      <x:c r="H1749" s="40"/>
    </x:row>
    <x:row r="1750">
      <x:c r="B1750" s="40"/>
      <x:c r="C1750" s="40"/>
      <x:c r="D1750" s="40"/>
      <x:c r="E1750" s="40"/>
      <x:c r="F1750" s="40"/>
      <x:c r="G1750" s="40"/>
      <x:c r="H1750" s="40"/>
    </x:row>
    <x:row r="1751">
      <x:c r="B1751" s="40"/>
      <x:c r="C1751" s="40"/>
      <x:c r="D1751" s="40"/>
      <x:c r="E1751" s="40"/>
      <x:c r="F1751" s="40"/>
      <x:c r="G1751" s="40"/>
      <x:c r="H1751" s="40"/>
    </x:row>
    <x:row r="1752">
      <x:c r="B1752" s="40"/>
      <x:c r="C1752" s="40"/>
      <x:c r="D1752" s="40"/>
      <x:c r="E1752" s="40"/>
      <x:c r="F1752" s="40"/>
      <x:c r="G1752" s="40"/>
      <x:c r="H1752" s="40"/>
    </x:row>
    <x:row r="1753">
      <x:c r="B1753" s="40"/>
      <x:c r="C1753" s="40"/>
      <x:c r="D1753" s="40"/>
      <x:c r="E1753" s="40"/>
      <x:c r="F1753" s="40"/>
      <x:c r="G1753" s="40"/>
      <x:c r="H1753" s="40"/>
    </x:row>
    <x:row r="1754">
      <x:c r="B1754" s="40"/>
      <x:c r="C1754" s="40"/>
      <x:c r="D1754" s="40"/>
      <x:c r="E1754" s="40"/>
      <x:c r="F1754" s="40"/>
      <x:c r="G1754" s="40"/>
      <x:c r="H1754" s="40"/>
    </x:row>
    <x:row r="1755">
      <x:c r="B1755" s="40"/>
      <x:c r="C1755" s="40"/>
      <x:c r="D1755" s="40"/>
      <x:c r="E1755" s="40"/>
      <x:c r="F1755" s="40"/>
      <x:c r="G1755" s="40"/>
      <x:c r="H1755" s="40"/>
    </x:row>
    <x:row r="1756">
      <x:c r="B1756" s="40"/>
      <x:c r="C1756" s="40"/>
      <x:c r="D1756" s="40"/>
      <x:c r="E1756" s="40"/>
      <x:c r="F1756" s="40"/>
      <x:c r="G1756" s="40"/>
      <x:c r="H1756" s="40"/>
    </x:row>
    <x:row r="1757">
      <x:c r="B1757" s="40"/>
      <x:c r="C1757" s="40"/>
      <x:c r="D1757" s="40"/>
      <x:c r="E1757" s="40"/>
      <x:c r="F1757" s="40"/>
      <x:c r="G1757" s="40"/>
      <x:c r="H1757" s="40"/>
    </x:row>
    <x:row r="1758">
      <x:c r="B1758" s="40"/>
      <x:c r="C1758" s="40"/>
      <x:c r="D1758" s="40"/>
      <x:c r="E1758" s="40"/>
      <x:c r="F1758" s="40"/>
      <x:c r="G1758" s="40"/>
      <x:c r="H1758" s="40"/>
    </x:row>
    <x:row r="1759">
      <x:c r="B1759" s="40"/>
      <x:c r="C1759" s="40"/>
      <x:c r="D1759" s="40"/>
      <x:c r="E1759" s="40"/>
      <x:c r="F1759" s="40"/>
      <x:c r="G1759" s="40"/>
      <x:c r="H1759" s="40"/>
    </x:row>
    <x:row r="1760">
      <x:c r="B1760" s="40"/>
      <x:c r="C1760" s="40"/>
      <x:c r="D1760" s="40"/>
      <x:c r="E1760" s="40"/>
      <x:c r="F1760" s="40"/>
      <x:c r="G1760" s="40"/>
      <x:c r="H1760" s="40"/>
    </x:row>
    <x:row r="1761">
      <x:c r="B1761" s="40"/>
      <x:c r="C1761" s="40"/>
      <x:c r="D1761" s="40"/>
      <x:c r="E1761" s="40"/>
      <x:c r="F1761" s="40"/>
      <x:c r="G1761" s="40"/>
      <x:c r="H1761" s="40"/>
    </x:row>
    <x:row r="1762">
      <x:c r="B1762" s="40"/>
      <x:c r="C1762" s="40"/>
      <x:c r="D1762" s="40"/>
      <x:c r="E1762" s="40"/>
      <x:c r="F1762" s="40"/>
      <x:c r="G1762" s="40"/>
      <x:c r="H1762" s="40"/>
    </x:row>
    <x:row r="1763">
      <x:c r="B1763" s="40"/>
      <x:c r="C1763" s="40"/>
      <x:c r="D1763" s="40"/>
      <x:c r="E1763" s="40"/>
      <x:c r="F1763" s="40"/>
      <x:c r="G1763" s="40"/>
      <x:c r="H1763" s="40"/>
    </x:row>
    <x:row r="1764">
      <x:c r="B1764" s="40"/>
      <x:c r="C1764" s="40"/>
      <x:c r="D1764" s="40"/>
      <x:c r="E1764" s="40"/>
      <x:c r="F1764" s="40"/>
      <x:c r="G1764" s="40"/>
      <x:c r="H1764" s="40"/>
    </x:row>
    <x:row r="1765">
      <x:c r="B1765" s="40"/>
      <x:c r="C1765" s="40"/>
      <x:c r="D1765" s="40"/>
      <x:c r="E1765" s="40"/>
      <x:c r="F1765" s="40"/>
      <x:c r="G1765" s="40"/>
      <x:c r="H1765" s="40"/>
    </x:row>
    <x:row r="1766">
      <x:c r="B1766" s="40"/>
      <x:c r="C1766" s="40"/>
      <x:c r="D1766" s="40"/>
      <x:c r="E1766" s="40"/>
      <x:c r="F1766" s="40"/>
      <x:c r="G1766" s="40"/>
      <x:c r="H1766" s="40"/>
    </x:row>
    <x:row r="1767">
      <x:c r="B1767" s="40"/>
      <x:c r="C1767" s="40"/>
      <x:c r="D1767" s="40"/>
      <x:c r="E1767" s="40"/>
      <x:c r="F1767" s="40"/>
      <x:c r="G1767" s="40"/>
      <x:c r="H1767" s="40"/>
    </x:row>
    <x:row r="1768">
      <x:c r="B1768" s="40"/>
      <x:c r="C1768" s="40"/>
      <x:c r="D1768" s="40"/>
      <x:c r="E1768" s="40"/>
      <x:c r="F1768" s="40"/>
      <x:c r="G1768" s="40"/>
      <x:c r="H1768" s="40"/>
    </x:row>
    <x:row r="1769">
      <x:c r="B1769" s="40"/>
      <x:c r="C1769" s="40"/>
      <x:c r="D1769" s="40"/>
      <x:c r="E1769" s="40"/>
      <x:c r="F1769" s="40"/>
      <x:c r="G1769" s="40"/>
      <x:c r="H1769" s="40"/>
    </x:row>
    <x:row r="1770">
      <x:c r="B1770" s="40"/>
      <x:c r="C1770" s="40"/>
      <x:c r="D1770" s="40"/>
      <x:c r="E1770" s="40"/>
      <x:c r="F1770" s="40"/>
      <x:c r="G1770" s="40"/>
      <x:c r="H1770" s="40"/>
    </x:row>
    <x:row r="1771">
      <x:c r="B1771" s="40"/>
      <x:c r="C1771" s="40"/>
      <x:c r="D1771" s="40"/>
      <x:c r="E1771" s="40"/>
      <x:c r="F1771" s="40"/>
      <x:c r="G1771" s="40"/>
      <x:c r="H1771" s="40"/>
    </x:row>
    <x:row r="1772">
      <x:c r="B1772" s="40"/>
      <x:c r="C1772" s="40"/>
      <x:c r="D1772" s="40"/>
      <x:c r="E1772" s="40"/>
      <x:c r="F1772" s="40"/>
      <x:c r="G1772" s="40"/>
      <x:c r="H1772" s="40"/>
    </x:row>
    <x:row r="1773">
      <x:c r="B1773" s="40"/>
      <x:c r="C1773" s="40"/>
      <x:c r="D1773" s="40"/>
      <x:c r="E1773" s="40"/>
      <x:c r="F1773" s="40"/>
      <x:c r="G1773" s="40"/>
      <x:c r="H1773" s="40"/>
    </x:row>
    <x:row r="1774">
      <x:c r="B1774" s="40"/>
      <x:c r="C1774" s="40"/>
      <x:c r="D1774" s="40"/>
      <x:c r="E1774" s="40"/>
      <x:c r="F1774" s="40"/>
      <x:c r="G1774" s="40"/>
      <x:c r="H1774" s="40"/>
    </x:row>
    <x:row r="1775">
      <x:c r="B1775" s="40"/>
      <x:c r="C1775" s="40"/>
      <x:c r="D1775" s="40"/>
      <x:c r="E1775" s="40"/>
      <x:c r="F1775" s="40"/>
      <x:c r="G1775" s="40"/>
      <x:c r="H1775" s="40"/>
    </x:row>
    <x:row r="1776">
      <x:c r="B1776" s="40"/>
      <x:c r="C1776" s="40"/>
      <x:c r="D1776" s="40"/>
      <x:c r="E1776" s="40"/>
      <x:c r="F1776" s="40"/>
      <x:c r="G1776" s="40"/>
      <x:c r="H1776" s="40"/>
    </x:row>
    <x:row r="1777">
      <x:c r="B1777" s="40"/>
      <x:c r="C1777" s="40"/>
      <x:c r="D1777" s="40"/>
      <x:c r="E1777" s="40"/>
      <x:c r="F1777" s="40"/>
      <x:c r="G1777" s="40"/>
      <x:c r="H1777" s="40"/>
    </x:row>
    <x:row r="1778">
      <x:c r="B1778" s="40"/>
      <x:c r="C1778" s="40"/>
      <x:c r="D1778" s="40"/>
      <x:c r="E1778" s="40"/>
      <x:c r="F1778" s="40"/>
      <x:c r="G1778" s="40"/>
      <x:c r="H1778" s="40"/>
    </x:row>
    <x:row r="1779">
      <x:c r="B1779" s="40"/>
      <x:c r="C1779" s="40"/>
      <x:c r="D1779" s="40"/>
      <x:c r="E1779" s="40"/>
      <x:c r="F1779" s="40"/>
      <x:c r="G1779" s="40"/>
      <x:c r="H1779" s="40"/>
    </x:row>
    <x:row r="1780">
      <x:c r="B1780" s="40"/>
      <x:c r="C1780" s="40"/>
      <x:c r="D1780" s="40"/>
      <x:c r="E1780" s="40"/>
      <x:c r="F1780" s="40"/>
      <x:c r="G1780" s="40"/>
      <x:c r="H1780" s="40"/>
    </x:row>
    <x:row r="1781">
      <x:c r="B1781" s="40"/>
      <x:c r="C1781" s="40"/>
      <x:c r="D1781" s="40"/>
      <x:c r="E1781" s="40"/>
      <x:c r="F1781" s="40"/>
      <x:c r="G1781" s="40"/>
      <x:c r="H1781" s="40"/>
    </x:row>
    <x:row r="1782">
      <x:c r="B1782" s="40"/>
      <x:c r="C1782" s="40"/>
      <x:c r="D1782" s="40"/>
      <x:c r="E1782" s="40"/>
      <x:c r="F1782" s="40"/>
      <x:c r="G1782" s="40"/>
      <x:c r="H1782" s="40"/>
    </x:row>
    <x:row r="1783">
      <x:c r="B1783" s="40"/>
      <x:c r="C1783" s="40"/>
      <x:c r="D1783" s="40"/>
      <x:c r="E1783" s="40"/>
      <x:c r="F1783" s="40"/>
      <x:c r="G1783" s="40"/>
      <x:c r="H1783" s="40"/>
    </x:row>
    <x:row r="1784">
      <x:c r="B1784" s="40"/>
      <x:c r="C1784" s="40"/>
      <x:c r="D1784" s="40"/>
      <x:c r="E1784" s="40"/>
      <x:c r="F1784" s="40"/>
      <x:c r="G1784" s="40"/>
      <x:c r="H1784" s="40"/>
    </x:row>
    <x:row r="1785">
      <x:c r="B1785" s="40"/>
      <x:c r="C1785" s="40"/>
      <x:c r="D1785" s="40"/>
      <x:c r="E1785" s="40"/>
      <x:c r="F1785" s="40"/>
      <x:c r="G1785" s="40"/>
      <x:c r="H1785" s="40"/>
    </x:row>
    <x:row r="1786">
      <x:c r="B1786" s="40"/>
      <x:c r="C1786" s="40"/>
      <x:c r="D1786" s="40"/>
      <x:c r="E1786" s="40"/>
      <x:c r="F1786" s="40"/>
      <x:c r="G1786" s="40"/>
      <x:c r="H1786" s="40"/>
    </x:row>
    <x:row r="1787">
      <x:c r="B1787" s="40"/>
      <x:c r="C1787" s="40"/>
      <x:c r="D1787" s="40"/>
      <x:c r="E1787" s="40"/>
      <x:c r="F1787" s="40"/>
      <x:c r="G1787" s="40"/>
      <x:c r="H1787" s="40"/>
    </x:row>
    <x:row r="1788">
      <x:c r="B1788" s="40"/>
      <x:c r="C1788" s="40"/>
      <x:c r="D1788" s="40"/>
      <x:c r="E1788" s="40"/>
      <x:c r="F1788" s="40"/>
      <x:c r="G1788" s="40"/>
      <x:c r="H1788" s="40"/>
    </x:row>
    <x:row r="1789">
      <x:c r="B1789" s="40"/>
      <x:c r="C1789" s="40"/>
      <x:c r="D1789" s="40"/>
      <x:c r="E1789" s="40"/>
      <x:c r="F1789" s="40"/>
      <x:c r="G1789" s="40"/>
      <x:c r="H1789" s="40"/>
    </x:row>
    <x:row r="1790">
      <x:c r="B1790" s="40"/>
      <x:c r="C1790" s="40"/>
      <x:c r="D1790" s="40"/>
      <x:c r="E1790" s="40"/>
      <x:c r="F1790" s="40"/>
      <x:c r="G1790" s="40"/>
      <x:c r="H1790" s="40"/>
    </x:row>
    <x:row r="1791">
      <x:c r="B1791" s="40"/>
      <x:c r="C1791" s="40"/>
      <x:c r="D1791" s="40"/>
      <x:c r="E1791" s="40"/>
      <x:c r="F1791" s="40"/>
      <x:c r="G1791" s="40"/>
      <x:c r="H1791" s="40"/>
    </x:row>
    <x:row r="1792">
      <x:c r="B1792" s="40"/>
      <x:c r="C1792" s="40"/>
      <x:c r="D1792" s="40"/>
      <x:c r="E1792" s="40"/>
      <x:c r="F1792" s="40"/>
      <x:c r="G1792" s="40"/>
      <x:c r="H1792" s="40"/>
    </x:row>
    <x:row r="1793">
      <x:c r="B1793" s="40"/>
      <x:c r="C1793" s="40"/>
      <x:c r="D1793" s="40"/>
      <x:c r="E1793" s="40"/>
      <x:c r="F1793" s="40"/>
      <x:c r="G1793" s="40"/>
      <x:c r="H1793" s="40"/>
    </x:row>
    <x:row r="1794">
      <x:c r="B1794" s="40"/>
      <x:c r="C1794" s="40"/>
      <x:c r="D1794" s="40"/>
      <x:c r="E1794" s="40"/>
      <x:c r="F1794" s="40"/>
      <x:c r="G1794" s="40"/>
      <x:c r="H1794" s="40"/>
    </x:row>
    <x:row r="1795">
      <x:c r="B1795" s="40"/>
      <x:c r="C1795" s="40"/>
      <x:c r="D1795" s="40"/>
      <x:c r="E1795" s="40"/>
      <x:c r="F1795" s="40"/>
      <x:c r="G1795" s="40"/>
      <x:c r="H1795" s="40"/>
    </x:row>
    <x:row r="1796">
      <x:c r="B1796" s="40"/>
      <x:c r="C1796" s="40"/>
      <x:c r="D1796" s="40"/>
      <x:c r="E1796" s="40"/>
      <x:c r="F1796" s="40"/>
      <x:c r="G1796" s="40"/>
      <x:c r="H1796" s="40"/>
    </x:row>
    <x:row r="1797">
      <x:c r="B1797" s="40"/>
      <x:c r="C1797" s="40"/>
      <x:c r="D1797" s="40"/>
      <x:c r="E1797" s="40"/>
      <x:c r="F1797" s="40"/>
      <x:c r="G1797" s="40"/>
      <x:c r="H1797" s="40"/>
    </x:row>
    <x:row r="1798">
      <x:c r="B1798" s="40"/>
      <x:c r="C1798" s="40"/>
      <x:c r="D1798" s="40"/>
      <x:c r="E1798" s="40"/>
      <x:c r="F1798" s="40"/>
      <x:c r="G1798" s="40"/>
      <x:c r="H1798" s="40"/>
    </x:row>
    <x:row r="1799">
      <x:c r="B1799" s="40"/>
      <x:c r="C1799" s="40"/>
      <x:c r="D1799" s="40"/>
      <x:c r="E1799" s="40"/>
      <x:c r="F1799" s="40"/>
      <x:c r="G1799" s="40"/>
      <x:c r="H1799" s="40"/>
    </x:row>
    <x:row r="1800">
      <x:c r="B1800" s="40"/>
      <x:c r="C1800" s="40"/>
      <x:c r="D1800" s="40"/>
      <x:c r="E1800" s="40"/>
      <x:c r="F1800" s="40"/>
      <x:c r="G1800" s="40"/>
      <x:c r="H1800" s="40"/>
    </x:row>
    <x:row r="1801">
      <x:c r="B1801" s="40"/>
      <x:c r="C1801" s="40"/>
      <x:c r="D1801" s="40"/>
      <x:c r="E1801" s="40"/>
      <x:c r="F1801" s="40"/>
      <x:c r="G1801" s="40"/>
      <x:c r="H1801" s="40"/>
    </x:row>
    <x:row r="1802">
      <x:c r="B1802" s="40"/>
      <x:c r="C1802" s="40"/>
      <x:c r="D1802" s="40"/>
      <x:c r="E1802" s="40"/>
      <x:c r="F1802" s="40"/>
      <x:c r="G1802" s="40"/>
      <x:c r="H1802" s="40"/>
    </x:row>
    <x:row r="1803">
      <x:c r="B1803" s="40"/>
      <x:c r="C1803" s="40"/>
      <x:c r="D1803" s="40"/>
      <x:c r="E1803" s="40"/>
      <x:c r="F1803" s="40"/>
      <x:c r="G1803" s="40"/>
      <x:c r="H1803" s="40"/>
    </x:row>
    <x:row r="1804">
      <x:c r="B1804" s="40"/>
      <x:c r="C1804" s="40"/>
      <x:c r="D1804" s="40"/>
      <x:c r="E1804" s="40"/>
      <x:c r="F1804" s="40"/>
      <x:c r="G1804" s="40"/>
      <x:c r="H1804" s="40"/>
    </x:row>
    <x:row r="1805">
      <x:c r="B1805" s="40"/>
      <x:c r="C1805" s="40"/>
      <x:c r="D1805" s="40"/>
      <x:c r="E1805" s="40"/>
      <x:c r="F1805" s="40"/>
      <x:c r="G1805" s="40"/>
      <x:c r="H1805" s="40"/>
    </x:row>
    <x:row r="1806">
      <x:c r="B1806" s="40"/>
      <x:c r="C1806" s="40"/>
      <x:c r="D1806" s="40"/>
      <x:c r="E1806" s="40"/>
      <x:c r="F1806" s="40"/>
      <x:c r="G1806" s="40"/>
      <x:c r="H1806" s="40"/>
    </x:row>
    <x:row r="1807">
      <x:c r="B1807" s="40"/>
      <x:c r="C1807" s="40"/>
      <x:c r="D1807" s="40"/>
      <x:c r="E1807" s="40"/>
      <x:c r="F1807" s="40"/>
      <x:c r="G1807" s="40"/>
      <x:c r="H1807" s="40"/>
    </x:row>
    <x:row r="1808">
      <x:c r="B1808" s="40"/>
      <x:c r="C1808" s="40"/>
      <x:c r="D1808" s="40"/>
      <x:c r="E1808" s="40"/>
      <x:c r="F1808" s="40"/>
      <x:c r="G1808" s="40"/>
      <x:c r="H1808" s="40"/>
    </x:row>
    <x:row r="1809">
      <x:c r="B1809" s="40"/>
      <x:c r="C1809" s="40"/>
      <x:c r="D1809" s="40"/>
      <x:c r="E1809" s="40"/>
      <x:c r="F1809" s="40"/>
      <x:c r="G1809" s="40"/>
      <x:c r="H1809" s="40"/>
    </x:row>
    <x:row r="1810">
      <x:c r="B1810" s="40"/>
      <x:c r="C1810" s="40"/>
      <x:c r="D1810" s="40"/>
      <x:c r="E1810" s="40"/>
      <x:c r="F1810" s="40"/>
      <x:c r="G1810" s="40"/>
      <x:c r="H1810" s="40"/>
    </x:row>
    <x:row r="1811">
      <x:c r="B1811" s="40"/>
      <x:c r="C1811" s="40"/>
      <x:c r="D1811" s="40"/>
      <x:c r="E1811" s="40"/>
      <x:c r="F1811" s="40"/>
      <x:c r="G1811" s="40"/>
      <x:c r="H1811" s="40"/>
    </x:row>
    <x:row r="1812">
      <x:c r="B1812" s="40"/>
      <x:c r="C1812" s="40"/>
      <x:c r="D1812" s="40"/>
      <x:c r="E1812" s="40"/>
      <x:c r="F1812" s="40"/>
      <x:c r="G1812" s="40"/>
      <x:c r="H1812" s="40"/>
    </x:row>
    <x:row r="1813">
      <x:c r="B1813" s="40"/>
      <x:c r="C1813" s="40"/>
      <x:c r="D1813" s="40"/>
      <x:c r="E1813" s="40"/>
      <x:c r="F1813" s="40"/>
      <x:c r="G1813" s="40"/>
      <x:c r="H1813" s="40"/>
    </x:row>
    <x:row r="1814">
      <x:c r="B1814" s="40"/>
      <x:c r="C1814" s="40"/>
      <x:c r="D1814" s="40"/>
      <x:c r="E1814" s="40"/>
      <x:c r="F1814" s="40"/>
      <x:c r="G1814" s="40"/>
      <x:c r="H1814" s="40"/>
    </x:row>
    <x:row r="1815">
      <x:c r="B1815" s="40"/>
      <x:c r="C1815" s="40"/>
      <x:c r="D1815" s="40"/>
      <x:c r="E1815" s="40"/>
      <x:c r="F1815" s="40"/>
      <x:c r="G1815" s="40"/>
      <x:c r="H1815" s="40"/>
    </x:row>
    <x:row r="1816">
      <x:c r="B1816" s="40"/>
      <x:c r="C1816" s="40"/>
      <x:c r="D1816" s="40"/>
      <x:c r="E1816" s="40"/>
      <x:c r="F1816" s="40"/>
      <x:c r="G1816" s="40"/>
      <x:c r="H1816" s="40"/>
    </x:row>
    <x:row r="1817">
      <x:c r="B1817" s="40"/>
      <x:c r="C1817" s="40"/>
      <x:c r="D1817" s="40"/>
      <x:c r="E1817" s="40"/>
      <x:c r="F1817" s="40"/>
      <x:c r="G1817" s="40"/>
      <x:c r="H1817" s="40"/>
    </x:row>
    <x:row r="1818">
      <x:c r="B1818" s="40"/>
      <x:c r="C1818" s="40"/>
      <x:c r="D1818" s="40"/>
      <x:c r="E1818" s="40"/>
      <x:c r="F1818" s="40"/>
      <x:c r="G1818" s="40"/>
      <x:c r="H1818" s="40"/>
    </x:row>
    <x:row r="1819">
      <x:c r="B1819" s="40"/>
      <x:c r="C1819" s="40"/>
      <x:c r="D1819" s="40"/>
      <x:c r="E1819" s="40"/>
      <x:c r="F1819" s="40"/>
      <x:c r="G1819" s="40"/>
      <x:c r="H1819" s="40"/>
    </x:row>
    <x:row r="1820">
      <x:c r="B1820" s="40"/>
      <x:c r="C1820" s="40"/>
      <x:c r="D1820" s="40"/>
      <x:c r="E1820" s="40"/>
      <x:c r="F1820" s="40"/>
      <x:c r="G1820" s="40"/>
      <x:c r="H1820" s="40"/>
    </x:row>
    <x:row r="1821">
      <x:c r="B1821" s="40"/>
      <x:c r="C1821" s="40"/>
      <x:c r="D1821" s="40"/>
      <x:c r="E1821" s="40"/>
      <x:c r="F1821" s="40"/>
      <x:c r="G1821" s="40"/>
      <x:c r="H1821" s="40"/>
    </x:row>
    <x:row r="1822">
      <x:c r="B1822" s="40"/>
      <x:c r="C1822" s="40"/>
      <x:c r="D1822" s="40"/>
      <x:c r="E1822" s="40"/>
      <x:c r="F1822" s="40"/>
      <x:c r="G1822" s="40"/>
      <x:c r="H1822" s="40"/>
    </x:row>
    <x:row r="1823">
      <x:c r="B1823" s="40"/>
      <x:c r="C1823" s="40"/>
      <x:c r="D1823" s="40"/>
      <x:c r="E1823" s="40"/>
      <x:c r="F1823" s="40"/>
      <x:c r="G1823" s="40"/>
      <x:c r="H1823" s="40"/>
    </x:row>
    <x:row r="1824">
      <x:c r="B1824" s="40"/>
      <x:c r="C1824" s="40"/>
      <x:c r="D1824" s="40"/>
      <x:c r="E1824" s="40"/>
      <x:c r="F1824" s="40"/>
      <x:c r="G1824" s="40"/>
      <x:c r="H1824" s="40"/>
    </x:row>
    <x:row r="1825">
      <x:c r="B1825" s="40"/>
      <x:c r="C1825" s="40"/>
      <x:c r="D1825" s="40"/>
      <x:c r="E1825" s="40"/>
      <x:c r="F1825" s="40"/>
      <x:c r="G1825" s="40"/>
      <x:c r="H1825" s="40"/>
    </x:row>
    <x:row r="1826">
      <x:c r="B1826" s="40"/>
      <x:c r="C1826" s="40"/>
      <x:c r="D1826" s="40"/>
      <x:c r="E1826" s="40"/>
      <x:c r="F1826" s="40"/>
      <x:c r="G1826" s="40"/>
      <x:c r="H1826" s="40"/>
    </x:row>
    <x:row r="1827">
      <x:c r="B1827" s="40"/>
      <x:c r="C1827" s="40"/>
      <x:c r="D1827" s="40"/>
      <x:c r="E1827" s="40"/>
      <x:c r="F1827" s="40"/>
      <x:c r="G1827" s="40"/>
      <x:c r="H1827" s="40"/>
    </x:row>
    <x:row r="1828">
      <x:c r="B1828" s="40"/>
      <x:c r="C1828" s="40"/>
      <x:c r="D1828" s="40"/>
      <x:c r="E1828" s="40"/>
      <x:c r="F1828" s="40"/>
      <x:c r="G1828" s="40"/>
      <x:c r="H1828" s="40"/>
    </x:row>
    <x:row r="1829">
      <x:c r="B1829" s="40"/>
      <x:c r="C1829" s="40"/>
      <x:c r="D1829" s="40"/>
      <x:c r="E1829" s="40"/>
      <x:c r="F1829" s="40"/>
      <x:c r="G1829" s="40"/>
      <x:c r="H1829" s="40"/>
    </x:row>
    <x:row r="1830">
      <x:c r="B1830" s="40"/>
      <x:c r="C1830" s="40"/>
      <x:c r="D1830" s="40"/>
      <x:c r="E1830" s="40"/>
      <x:c r="F1830" s="40"/>
      <x:c r="G1830" s="40"/>
      <x:c r="H1830" s="40"/>
    </x:row>
    <x:row r="1831">
      <x:c r="B1831" s="40"/>
      <x:c r="C1831" s="40"/>
      <x:c r="D1831" s="40"/>
      <x:c r="E1831" s="40"/>
      <x:c r="F1831" s="40"/>
      <x:c r="G1831" s="40"/>
      <x:c r="H1831" s="40"/>
    </x:row>
    <x:row r="1832">
      <x:c r="B1832" s="40"/>
      <x:c r="C1832" s="40"/>
      <x:c r="D1832" s="40"/>
      <x:c r="E1832" s="40"/>
      <x:c r="F1832" s="40"/>
      <x:c r="G1832" s="40"/>
      <x:c r="H1832" s="40"/>
    </x:row>
    <x:row r="1833">
      <x:c r="B1833" s="40"/>
      <x:c r="C1833" s="40"/>
      <x:c r="D1833" s="40"/>
      <x:c r="E1833" s="40"/>
      <x:c r="F1833" s="40"/>
      <x:c r="G1833" s="40"/>
      <x:c r="H1833" s="40"/>
    </x:row>
    <x:row r="1834">
      <x:c r="B1834" s="40"/>
      <x:c r="C1834" s="40"/>
      <x:c r="D1834" s="40"/>
      <x:c r="E1834" s="40"/>
      <x:c r="F1834" s="40"/>
      <x:c r="G1834" s="40"/>
      <x:c r="H1834" s="40"/>
    </x:row>
    <x:row r="1835">
      <x:c r="B1835" s="40"/>
      <x:c r="C1835" s="40"/>
      <x:c r="D1835" s="40"/>
      <x:c r="E1835" s="40"/>
      <x:c r="F1835" s="40"/>
      <x:c r="G1835" s="40"/>
      <x:c r="H1835" s="40"/>
    </x:row>
    <x:row r="1836">
      <x:c r="B1836" s="40"/>
      <x:c r="C1836" s="40"/>
      <x:c r="D1836" s="40"/>
      <x:c r="E1836" s="40"/>
      <x:c r="F1836" s="40"/>
      <x:c r="G1836" s="40"/>
      <x:c r="H1836" s="40"/>
    </x:row>
    <x:row r="1837">
      <x:c r="B1837" s="40"/>
      <x:c r="C1837" s="40"/>
      <x:c r="D1837" s="40"/>
      <x:c r="E1837" s="40"/>
      <x:c r="F1837" s="40"/>
      <x:c r="G1837" s="40"/>
      <x:c r="H1837" s="40"/>
    </x:row>
    <x:row r="1838">
      <x:c r="B1838" s="40"/>
      <x:c r="C1838" s="40"/>
      <x:c r="D1838" s="40"/>
      <x:c r="E1838" s="40"/>
      <x:c r="F1838" s="40"/>
      <x:c r="G1838" s="40"/>
      <x:c r="H1838" s="40"/>
    </x:row>
    <x:row r="1839">
      <x:c r="B1839" s="40"/>
      <x:c r="C1839" s="40"/>
      <x:c r="D1839" s="40"/>
      <x:c r="E1839" s="40"/>
      <x:c r="F1839" s="40"/>
      <x:c r="G1839" s="40"/>
      <x:c r="H1839" s="40"/>
    </x:row>
    <x:row r="1840">
      <x:c r="B1840" s="40"/>
      <x:c r="C1840" s="40"/>
      <x:c r="D1840" s="40"/>
      <x:c r="E1840" s="40"/>
      <x:c r="F1840" s="40"/>
      <x:c r="G1840" s="40"/>
      <x:c r="H1840" s="40"/>
    </x:row>
    <x:row r="1841">
      <x:c r="B1841" s="40"/>
      <x:c r="C1841" s="40"/>
      <x:c r="D1841" s="40"/>
      <x:c r="E1841" s="40"/>
      <x:c r="F1841" s="40"/>
      <x:c r="G1841" s="40"/>
      <x:c r="H1841" s="40"/>
    </x:row>
    <x:row r="1842">
      <x:c r="B1842" s="40"/>
      <x:c r="C1842" s="40"/>
      <x:c r="D1842" s="40"/>
      <x:c r="E1842" s="40"/>
      <x:c r="F1842" s="40"/>
      <x:c r="G1842" s="40"/>
      <x:c r="H1842" s="40"/>
    </x:row>
    <x:row r="1843">
      <x:c r="B1843" s="40"/>
      <x:c r="C1843" s="40"/>
      <x:c r="D1843" s="40"/>
      <x:c r="E1843" s="40"/>
      <x:c r="F1843" s="40"/>
      <x:c r="G1843" s="40"/>
      <x:c r="H1843" s="40"/>
    </x:row>
    <x:row r="1844">
      <x:c r="B1844" s="40"/>
      <x:c r="C1844" s="40"/>
      <x:c r="D1844" s="40"/>
      <x:c r="E1844" s="40"/>
      <x:c r="F1844" s="40"/>
      <x:c r="G1844" s="40"/>
      <x:c r="H1844" s="40"/>
    </x:row>
    <x:row r="1845">
      <x:c r="B1845" s="40"/>
      <x:c r="C1845" s="40"/>
      <x:c r="D1845" s="40"/>
      <x:c r="E1845" s="40"/>
      <x:c r="F1845" s="40"/>
      <x:c r="G1845" s="40"/>
      <x:c r="H1845" s="40"/>
    </x:row>
    <x:row r="1846">
      <x:c r="B1846" s="40"/>
      <x:c r="C1846" s="40"/>
      <x:c r="D1846" s="40"/>
      <x:c r="E1846" s="40"/>
      <x:c r="F1846" s="40"/>
      <x:c r="G1846" s="40"/>
      <x:c r="H1846" s="40"/>
    </x:row>
    <x:row r="1847">
      <x:c r="B1847" s="40"/>
      <x:c r="C1847" s="40"/>
      <x:c r="D1847" s="40"/>
      <x:c r="E1847" s="40"/>
      <x:c r="F1847" s="40"/>
      <x:c r="G1847" s="40"/>
      <x:c r="H1847" s="40"/>
    </x:row>
    <x:row r="1848">
      <x:c r="B1848" s="40"/>
      <x:c r="C1848" s="40"/>
      <x:c r="D1848" s="40"/>
      <x:c r="E1848" s="40"/>
      <x:c r="F1848" s="40"/>
      <x:c r="G1848" s="40"/>
      <x:c r="H1848" s="40"/>
    </x:row>
    <x:row r="1849">
      <x:c r="B1849" s="40"/>
      <x:c r="C1849" s="40"/>
      <x:c r="D1849" s="40"/>
      <x:c r="E1849" s="40"/>
      <x:c r="F1849" s="40"/>
      <x:c r="G1849" s="40"/>
      <x:c r="H1849" s="40"/>
    </x:row>
    <x:row r="1850">
      <x:c r="B1850" s="40"/>
      <x:c r="C1850" s="40"/>
      <x:c r="D1850" s="40"/>
      <x:c r="E1850" s="40"/>
      <x:c r="F1850" s="40"/>
      <x:c r="G1850" s="40"/>
      <x:c r="H1850" s="40"/>
    </x:row>
    <x:row r="1851">
      <x:c r="B1851" s="40"/>
      <x:c r="C1851" s="40"/>
      <x:c r="D1851" s="40"/>
      <x:c r="E1851" s="40"/>
      <x:c r="F1851" s="40"/>
      <x:c r="G1851" s="40"/>
      <x:c r="H1851" s="40"/>
    </x:row>
    <x:row r="1852">
      <x:c r="B1852" s="40"/>
      <x:c r="C1852" s="40"/>
      <x:c r="D1852" s="40"/>
      <x:c r="E1852" s="40"/>
      <x:c r="F1852" s="40"/>
      <x:c r="G1852" s="40"/>
      <x:c r="H1852" s="40"/>
    </x:row>
    <x:row r="1853">
      <x:c r="B1853" s="40"/>
      <x:c r="C1853" s="40"/>
      <x:c r="D1853" s="40"/>
      <x:c r="E1853" s="40"/>
      <x:c r="F1853" s="40"/>
      <x:c r="G1853" s="40"/>
      <x:c r="H1853" s="40"/>
    </x:row>
    <x:row r="1854">
      <x:c r="B1854" s="40"/>
      <x:c r="C1854" s="40"/>
      <x:c r="D1854" s="40"/>
      <x:c r="E1854" s="40"/>
      <x:c r="F1854" s="40"/>
      <x:c r="G1854" s="40"/>
      <x:c r="H1854" s="40"/>
    </x:row>
    <x:row r="1855">
      <x:c r="B1855" s="40"/>
      <x:c r="C1855" s="40"/>
      <x:c r="D1855" s="40"/>
      <x:c r="E1855" s="40"/>
      <x:c r="F1855" s="40"/>
      <x:c r="G1855" s="40"/>
      <x:c r="H1855" s="40"/>
    </x:row>
    <x:row r="1856">
      <x:c r="B1856" s="40"/>
      <x:c r="C1856" s="40"/>
      <x:c r="D1856" s="40"/>
      <x:c r="E1856" s="40"/>
      <x:c r="F1856" s="40"/>
      <x:c r="G1856" s="40"/>
      <x:c r="H1856" s="40"/>
    </x:row>
    <x:row r="1857">
      <x:c r="B1857" s="40"/>
      <x:c r="C1857" s="40"/>
      <x:c r="D1857" s="40"/>
      <x:c r="E1857" s="40"/>
      <x:c r="F1857" s="40"/>
      <x:c r="G1857" s="40"/>
      <x:c r="H1857" s="40"/>
    </x:row>
    <x:row r="1858">
      <x:c r="B1858" s="40"/>
      <x:c r="C1858" s="40"/>
      <x:c r="D1858" s="40"/>
      <x:c r="E1858" s="40"/>
      <x:c r="F1858" s="40"/>
      <x:c r="G1858" s="40"/>
      <x:c r="H1858" s="40"/>
    </x:row>
    <x:row r="1859">
      <x:c r="B1859" s="40"/>
      <x:c r="C1859" s="40"/>
      <x:c r="D1859" s="40"/>
      <x:c r="E1859" s="40"/>
      <x:c r="F1859" s="40"/>
      <x:c r="G1859" s="40"/>
      <x:c r="H1859" s="40"/>
    </x:row>
    <x:row r="1860">
      <x:c r="B1860" s="40"/>
      <x:c r="C1860" s="40"/>
      <x:c r="D1860" s="40"/>
      <x:c r="E1860" s="40"/>
      <x:c r="F1860" s="40"/>
      <x:c r="G1860" s="40"/>
      <x:c r="H1860" s="40"/>
    </x:row>
    <x:row r="1861">
      <x:c r="B1861" s="40"/>
      <x:c r="C1861" s="40"/>
      <x:c r="D1861" s="40"/>
      <x:c r="E1861" s="40"/>
      <x:c r="F1861" s="40"/>
      <x:c r="G1861" s="40"/>
      <x:c r="H1861" s="40"/>
    </x:row>
    <x:row r="1862">
      <x:c r="B1862" s="40"/>
      <x:c r="C1862" s="40"/>
      <x:c r="D1862" s="40"/>
      <x:c r="E1862" s="40"/>
      <x:c r="F1862" s="40"/>
      <x:c r="G1862" s="40"/>
      <x:c r="H1862" s="40"/>
    </x:row>
    <x:row r="1863">
      <x:c r="B1863" s="40"/>
      <x:c r="C1863" s="40"/>
      <x:c r="D1863" s="40"/>
      <x:c r="E1863" s="40"/>
      <x:c r="F1863" s="40"/>
      <x:c r="G1863" s="40"/>
      <x:c r="H1863" s="40"/>
    </x:row>
    <x:row r="1864">
      <x:c r="B1864" s="40"/>
      <x:c r="C1864" s="40"/>
      <x:c r="D1864" s="40"/>
      <x:c r="E1864" s="40"/>
      <x:c r="F1864" s="40"/>
      <x:c r="G1864" s="40"/>
      <x:c r="H1864" s="40"/>
    </x:row>
    <x:row r="1865">
      <x:c r="B1865" s="40"/>
      <x:c r="C1865" s="40"/>
      <x:c r="D1865" s="40"/>
      <x:c r="E1865" s="40"/>
      <x:c r="F1865" s="40"/>
      <x:c r="G1865" s="40"/>
      <x:c r="H1865" s="40"/>
    </x:row>
    <x:row r="1866">
      <x:c r="B1866" s="40"/>
      <x:c r="C1866" s="40"/>
      <x:c r="D1866" s="40"/>
      <x:c r="E1866" s="40"/>
      <x:c r="F1866" s="40"/>
      <x:c r="G1866" s="40"/>
      <x:c r="H1866" s="40"/>
    </x:row>
    <x:row r="1867">
      <x:c r="B1867" s="40"/>
      <x:c r="C1867" s="40"/>
      <x:c r="D1867" s="40"/>
      <x:c r="E1867" s="40"/>
      <x:c r="F1867" s="40"/>
      <x:c r="G1867" s="40"/>
      <x:c r="H1867" s="40"/>
    </x:row>
    <x:row r="1868">
      <x:c r="B1868" s="40"/>
      <x:c r="C1868" s="40"/>
      <x:c r="D1868" s="40"/>
      <x:c r="E1868" s="40"/>
      <x:c r="F1868" s="40"/>
      <x:c r="G1868" s="40"/>
      <x:c r="H1868" s="40"/>
    </x:row>
    <x:row r="1869">
      <x:c r="B1869" s="40"/>
      <x:c r="C1869" s="40"/>
      <x:c r="D1869" s="40"/>
      <x:c r="E1869" s="40"/>
      <x:c r="F1869" s="40"/>
      <x:c r="G1869" s="40"/>
      <x:c r="H1869" s="40"/>
    </x:row>
    <x:row r="1870">
      <x:c r="B1870" s="40"/>
      <x:c r="C1870" s="40"/>
      <x:c r="D1870" s="40"/>
      <x:c r="E1870" s="40"/>
      <x:c r="F1870" s="40"/>
      <x:c r="G1870" s="40"/>
      <x:c r="H1870" s="40"/>
    </x:row>
    <x:row r="1871">
      <x:c r="B1871" s="40"/>
      <x:c r="C1871" s="40"/>
      <x:c r="D1871" s="40"/>
      <x:c r="E1871" s="40"/>
      <x:c r="F1871" s="40"/>
      <x:c r="G1871" s="40"/>
      <x:c r="H1871" s="40"/>
    </x:row>
    <x:row r="1872">
      <x:c r="B1872" s="40"/>
      <x:c r="C1872" s="40"/>
      <x:c r="D1872" s="40"/>
      <x:c r="E1872" s="40"/>
      <x:c r="F1872" s="40"/>
      <x:c r="G1872" s="40"/>
      <x:c r="H1872" s="40"/>
    </x:row>
    <x:row r="1873">
      <x:c r="B1873" s="40"/>
      <x:c r="C1873" s="40"/>
      <x:c r="D1873" s="40"/>
      <x:c r="E1873" s="40"/>
      <x:c r="F1873" s="40"/>
      <x:c r="G1873" s="40"/>
      <x:c r="H1873" s="40"/>
    </x:row>
    <x:row r="1874">
      <x:c r="B1874" s="40"/>
      <x:c r="C1874" s="40"/>
      <x:c r="D1874" s="40"/>
      <x:c r="E1874" s="40"/>
      <x:c r="F1874" s="40"/>
      <x:c r="G1874" s="40"/>
      <x:c r="H1874" s="40"/>
    </x:row>
    <x:row r="1875">
      <x:c r="B1875" s="40"/>
      <x:c r="C1875" s="40"/>
      <x:c r="D1875" s="40"/>
      <x:c r="E1875" s="40"/>
      <x:c r="F1875" s="40"/>
      <x:c r="G1875" s="40"/>
      <x:c r="H1875" s="40"/>
    </x:row>
    <x:row r="1876">
      <x:c r="B1876" s="40"/>
      <x:c r="C1876" s="40"/>
      <x:c r="D1876" s="40"/>
      <x:c r="E1876" s="40"/>
      <x:c r="F1876" s="40"/>
      <x:c r="G1876" s="40"/>
      <x:c r="H1876" s="40"/>
    </x:row>
    <x:row r="1877">
      <x:c r="B1877" s="40"/>
      <x:c r="C1877" s="40"/>
      <x:c r="D1877" s="40"/>
      <x:c r="E1877" s="40"/>
      <x:c r="F1877" s="40"/>
      <x:c r="G1877" s="40"/>
      <x:c r="H1877" s="40"/>
    </x:row>
    <x:row r="1878">
      <x:c r="B1878" s="40"/>
      <x:c r="C1878" s="40"/>
      <x:c r="D1878" s="40"/>
      <x:c r="E1878" s="40"/>
      <x:c r="F1878" s="40"/>
      <x:c r="G1878" s="40"/>
      <x:c r="H1878" s="40"/>
    </x:row>
    <x:row r="1879">
      <x:c r="B1879" s="40"/>
      <x:c r="C1879" s="40"/>
      <x:c r="D1879" s="40"/>
      <x:c r="E1879" s="40"/>
      <x:c r="F1879" s="40"/>
      <x:c r="G1879" s="40"/>
      <x:c r="H1879" s="40"/>
    </x:row>
    <x:row r="1880">
      <x:c r="B1880" s="40"/>
      <x:c r="C1880" s="40"/>
      <x:c r="D1880" s="40"/>
      <x:c r="E1880" s="40"/>
      <x:c r="F1880" s="40"/>
      <x:c r="G1880" s="40"/>
      <x:c r="H1880" s="40"/>
    </x:row>
    <x:row r="1881">
      <x:c r="B1881" s="40"/>
      <x:c r="C1881" s="40"/>
      <x:c r="D1881" s="40"/>
      <x:c r="E1881" s="40"/>
      <x:c r="F1881" s="40"/>
      <x:c r="G1881" s="40"/>
      <x:c r="H1881" s="40"/>
    </x:row>
    <x:row r="1882">
      <x:c r="B1882" s="40"/>
      <x:c r="C1882" s="40"/>
      <x:c r="D1882" s="40"/>
      <x:c r="E1882" s="40"/>
      <x:c r="F1882" s="40"/>
      <x:c r="G1882" s="40"/>
      <x:c r="H1882" s="40"/>
    </x:row>
    <x:row r="1883">
      <x:c r="B1883" s="40"/>
      <x:c r="C1883" s="40"/>
      <x:c r="D1883" s="40"/>
      <x:c r="E1883" s="40"/>
      <x:c r="F1883" s="40"/>
      <x:c r="G1883" s="40"/>
      <x:c r="H1883" s="40"/>
    </x:row>
    <x:row r="1884">
      <x:c r="B1884" s="40"/>
      <x:c r="C1884" s="40"/>
      <x:c r="D1884" s="40"/>
      <x:c r="E1884" s="40"/>
      <x:c r="F1884" s="40"/>
      <x:c r="G1884" s="40"/>
      <x:c r="H1884" s="40"/>
    </x:row>
    <x:row r="1885">
      <x:c r="B1885" s="40"/>
      <x:c r="C1885" s="40"/>
      <x:c r="D1885" s="40"/>
      <x:c r="E1885" s="40"/>
      <x:c r="F1885" s="40"/>
      <x:c r="G1885" s="40"/>
      <x:c r="H1885" s="40"/>
    </x:row>
    <x:row r="1886">
      <x:c r="B1886" s="40"/>
      <x:c r="C1886" s="40"/>
      <x:c r="D1886" s="40"/>
      <x:c r="E1886" s="40"/>
      <x:c r="F1886" s="40"/>
      <x:c r="G1886" s="40"/>
      <x:c r="H1886" s="40"/>
    </x:row>
    <x:row r="1887">
      <x:c r="B1887" s="40"/>
      <x:c r="C1887" s="40"/>
      <x:c r="D1887" s="40"/>
      <x:c r="E1887" s="40"/>
      <x:c r="F1887" s="40"/>
      <x:c r="G1887" s="40"/>
      <x:c r="H1887" s="40"/>
    </x:row>
    <x:row r="1888">
      <x:c r="B1888" s="40"/>
      <x:c r="C1888" s="40"/>
      <x:c r="D1888" s="40"/>
      <x:c r="E1888" s="40"/>
      <x:c r="F1888" s="40"/>
      <x:c r="G1888" s="40"/>
      <x:c r="H1888" s="40"/>
    </x:row>
    <x:row r="1889">
      <x:c r="B1889" s="40"/>
      <x:c r="C1889" s="40"/>
      <x:c r="D1889" s="40"/>
      <x:c r="E1889" s="40"/>
      <x:c r="F1889" s="40"/>
      <x:c r="G1889" s="40"/>
      <x:c r="H1889" s="40"/>
    </x:row>
    <x:row r="1890">
      <x:c r="B1890" s="40"/>
      <x:c r="C1890" s="40"/>
      <x:c r="D1890" s="40"/>
      <x:c r="E1890" s="40"/>
      <x:c r="F1890" s="40"/>
      <x:c r="G1890" s="40"/>
      <x:c r="H1890" s="40"/>
    </x:row>
    <x:row r="1891">
      <x:c r="B1891" s="40"/>
      <x:c r="C1891" s="40"/>
      <x:c r="D1891" s="40"/>
      <x:c r="E1891" s="40"/>
      <x:c r="F1891" s="40"/>
      <x:c r="G1891" s="40"/>
      <x:c r="H1891" s="40"/>
    </x:row>
    <x:row r="1892">
      <x:c r="B1892" s="40"/>
      <x:c r="C1892" s="40"/>
      <x:c r="D1892" s="40"/>
      <x:c r="E1892" s="40"/>
      <x:c r="F1892" s="40"/>
      <x:c r="G1892" s="40"/>
      <x:c r="H1892" s="40"/>
    </x:row>
    <x:row r="1893">
      <x:c r="B1893" s="40"/>
      <x:c r="C1893" s="40"/>
      <x:c r="D1893" s="40"/>
      <x:c r="E1893" s="40"/>
      <x:c r="F1893" s="40"/>
      <x:c r="G1893" s="40"/>
      <x:c r="H1893" s="40"/>
    </x:row>
    <x:row r="1894">
      <x:c r="B1894" s="40"/>
      <x:c r="C1894" s="40"/>
      <x:c r="D1894" s="40"/>
      <x:c r="E1894" s="40"/>
      <x:c r="F1894" s="40"/>
      <x:c r="G1894" s="40"/>
      <x:c r="H1894" s="40"/>
    </x:row>
    <x:row r="1895">
      <x:c r="B1895" s="40"/>
      <x:c r="C1895" s="40"/>
      <x:c r="D1895" s="40"/>
      <x:c r="E1895" s="40"/>
      <x:c r="F1895" s="40"/>
      <x:c r="G1895" s="40"/>
      <x:c r="H1895" s="40"/>
    </x:row>
    <x:row r="1896">
      <x:c r="B1896" s="40"/>
      <x:c r="C1896" s="40"/>
      <x:c r="D1896" s="40"/>
      <x:c r="E1896" s="40"/>
      <x:c r="F1896" s="40"/>
      <x:c r="G1896" s="40"/>
      <x:c r="H1896" s="40"/>
    </x:row>
    <x:row r="1897">
      <x:c r="B1897" s="40"/>
      <x:c r="C1897" s="40"/>
      <x:c r="D1897" s="40"/>
      <x:c r="E1897" s="40"/>
      <x:c r="F1897" s="40"/>
      <x:c r="G1897" s="40"/>
      <x:c r="H1897" s="40"/>
    </x:row>
    <x:row r="1898">
      <x:c r="B1898" s="40"/>
      <x:c r="C1898" s="40"/>
      <x:c r="D1898" s="40"/>
      <x:c r="E1898" s="40"/>
      <x:c r="F1898" s="40"/>
      <x:c r="G1898" s="40"/>
      <x:c r="H1898" s="40"/>
    </x:row>
    <x:row r="1899">
      <x:c r="B1899" s="40"/>
      <x:c r="C1899" s="40"/>
      <x:c r="D1899" s="40"/>
      <x:c r="E1899" s="40"/>
      <x:c r="F1899" s="40"/>
      <x:c r="G1899" s="40"/>
      <x:c r="H1899" s="40"/>
    </x:row>
    <x:row r="1900">
      <x:c r="B1900" s="40"/>
      <x:c r="C1900" s="40"/>
      <x:c r="D1900" s="40"/>
      <x:c r="E1900" s="40"/>
      <x:c r="F1900" s="40"/>
      <x:c r="G1900" s="40"/>
      <x:c r="H1900" s="40"/>
    </x:row>
    <x:row r="1901">
      <x:c r="B1901" s="40"/>
      <x:c r="C1901" s="40"/>
      <x:c r="D1901" s="40"/>
      <x:c r="E1901" s="40"/>
      <x:c r="F1901" s="40"/>
      <x:c r="G1901" s="40"/>
      <x:c r="H1901" s="40"/>
    </x:row>
    <x:row r="1902">
      <x:c r="B1902" s="40"/>
      <x:c r="C1902" s="40"/>
      <x:c r="D1902" s="40"/>
      <x:c r="E1902" s="40"/>
      <x:c r="F1902" s="40"/>
      <x:c r="G1902" s="40"/>
      <x:c r="H1902" s="40"/>
    </x:row>
    <x:row r="1903">
      <x:c r="B1903" s="40"/>
      <x:c r="C1903" s="40"/>
      <x:c r="D1903" s="40"/>
      <x:c r="E1903" s="40"/>
      <x:c r="F1903" s="40"/>
      <x:c r="G1903" s="40"/>
      <x:c r="H1903" s="40"/>
    </x:row>
    <x:row r="1904">
      <x:c r="B1904" s="40"/>
      <x:c r="C1904" s="40"/>
      <x:c r="D1904" s="40"/>
      <x:c r="E1904" s="40"/>
      <x:c r="F1904" s="40"/>
      <x:c r="G1904" s="40"/>
      <x:c r="H1904" s="40"/>
    </x:row>
    <x:row r="1905">
      <x:c r="B1905" s="40"/>
      <x:c r="C1905" s="40"/>
      <x:c r="D1905" s="40"/>
      <x:c r="E1905" s="40"/>
      <x:c r="F1905" s="40"/>
      <x:c r="G1905" s="40"/>
      <x:c r="H1905" s="40"/>
    </x:row>
    <x:row r="1906">
      <x:c r="B1906" s="40"/>
      <x:c r="C1906" s="40"/>
      <x:c r="D1906" s="40"/>
      <x:c r="E1906" s="40"/>
      <x:c r="F1906" s="40"/>
      <x:c r="G1906" s="40"/>
      <x:c r="H1906" s="40"/>
    </x:row>
    <x:row r="1907">
      <x:c r="B1907" s="40"/>
      <x:c r="C1907" s="40"/>
      <x:c r="D1907" s="40"/>
      <x:c r="E1907" s="40"/>
      <x:c r="F1907" s="40"/>
      <x:c r="G1907" s="40"/>
      <x:c r="H1907" s="40"/>
    </x:row>
    <x:row r="1908">
      <x:c r="B1908" s="40"/>
      <x:c r="C1908" s="40"/>
      <x:c r="D1908" s="40"/>
      <x:c r="E1908" s="40"/>
      <x:c r="F1908" s="40"/>
      <x:c r="G1908" s="40"/>
      <x:c r="H1908" s="40"/>
    </x:row>
    <x:row r="1909">
      <x:c r="B1909" s="40"/>
      <x:c r="C1909" s="40"/>
      <x:c r="D1909" s="40"/>
      <x:c r="E1909" s="40"/>
      <x:c r="F1909" s="40"/>
      <x:c r="G1909" s="40"/>
      <x:c r="H1909" s="40"/>
    </x:row>
    <x:row r="1910">
      <x:c r="B1910" s="40"/>
      <x:c r="C1910" s="40"/>
      <x:c r="D1910" s="40"/>
      <x:c r="E1910" s="40"/>
      <x:c r="F1910" s="40"/>
      <x:c r="G1910" s="40"/>
      <x:c r="H1910" s="40"/>
    </x:row>
    <x:row r="1911">
      <x:c r="B1911" s="40"/>
      <x:c r="C1911" s="40"/>
      <x:c r="D1911" s="40"/>
      <x:c r="E1911" s="40"/>
      <x:c r="F1911" s="40"/>
      <x:c r="G1911" s="40"/>
      <x:c r="H1911" s="40"/>
    </x:row>
    <x:row r="1912">
      <x:c r="B1912" s="40"/>
      <x:c r="C1912" s="40"/>
      <x:c r="D1912" s="40"/>
      <x:c r="E1912" s="40"/>
      <x:c r="F1912" s="40"/>
      <x:c r="G1912" s="40"/>
      <x:c r="H1912" s="40"/>
    </x:row>
    <x:row r="1913">
      <x:c r="B1913" s="40"/>
      <x:c r="C1913" s="40"/>
      <x:c r="D1913" s="40"/>
      <x:c r="E1913" s="40"/>
      <x:c r="F1913" s="40"/>
      <x:c r="G1913" s="40"/>
      <x:c r="H1913" s="40"/>
    </x:row>
    <x:row r="1914">
      <x:c r="B1914" s="40"/>
      <x:c r="C1914" s="40"/>
      <x:c r="D1914" s="40"/>
      <x:c r="E1914" s="40"/>
      <x:c r="F1914" s="40"/>
      <x:c r="G1914" s="40"/>
      <x:c r="H1914" s="40"/>
    </x:row>
    <x:row r="1915">
      <x:c r="B1915" s="40"/>
      <x:c r="C1915" s="40"/>
      <x:c r="D1915" s="40"/>
      <x:c r="E1915" s="40"/>
      <x:c r="F1915" s="40"/>
      <x:c r="G1915" s="40"/>
      <x:c r="H1915" s="40"/>
    </x:row>
    <x:row r="1916">
      <x:c r="B1916" s="40"/>
      <x:c r="C1916" s="40"/>
      <x:c r="D1916" s="40"/>
      <x:c r="E1916" s="40"/>
      <x:c r="F1916" s="40"/>
      <x:c r="G1916" s="40"/>
      <x:c r="H1916" s="40"/>
    </x:row>
    <x:row r="1917">
      <x:c r="B1917" s="40"/>
      <x:c r="C1917" s="40"/>
      <x:c r="D1917" s="40"/>
      <x:c r="E1917" s="40"/>
      <x:c r="F1917" s="40"/>
      <x:c r="G1917" s="40"/>
      <x:c r="H1917" s="40"/>
    </x:row>
    <x:row r="1918">
      <x:c r="B1918" s="40"/>
      <x:c r="C1918" s="40"/>
      <x:c r="D1918" s="40"/>
      <x:c r="E1918" s="40"/>
      <x:c r="F1918" s="40"/>
      <x:c r="G1918" s="40"/>
      <x:c r="H1918" s="40"/>
    </x:row>
    <x:row r="1919">
      <x:c r="B1919" s="40"/>
      <x:c r="C1919" s="40"/>
      <x:c r="D1919" s="40"/>
      <x:c r="E1919" s="40"/>
      <x:c r="F1919" s="40"/>
      <x:c r="G1919" s="40"/>
      <x:c r="H1919" s="40"/>
    </x:row>
    <x:row r="1920">
      <x:c r="B1920" s="40"/>
      <x:c r="C1920" s="40"/>
      <x:c r="D1920" s="40"/>
      <x:c r="E1920" s="40"/>
      <x:c r="F1920" s="40"/>
      <x:c r="G1920" s="40"/>
      <x:c r="H1920" s="40"/>
    </x:row>
    <x:row r="1921">
      <x:c r="B1921" s="40"/>
      <x:c r="C1921" s="40"/>
      <x:c r="D1921" s="40"/>
      <x:c r="E1921" s="40"/>
      <x:c r="F1921" s="40"/>
      <x:c r="G1921" s="40"/>
      <x:c r="H1921" s="40"/>
    </x:row>
    <x:row r="1922">
      <x:c r="B1922" s="40"/>
      <x:c r="C1922" s="40"/>
      <x:c r="D1922" s="40"/>
      <x:c r="E1922" s="40"/>
      <x:c r="F1922" s="40"/>
      <x:c r="G1922" s="40"/>
      <x:c r="H1922" s="40"/>
    </x:row>
    <x:row r="1923">
      <x:c r="B1923" s="40"/>
      <x:c r="C1923" s="40"/>
      <x:c r="D1923" s="40"/>
      <x:c r="E1923" s="40"/>
      <x:c r="F1923" s="40"/>
      <x:c r="G1923" s="40"/>
      <x:c r="H1923" s="40"/>
    </x:row>
    <x:row r="1924">
      <x:c r="B1924" s="40"/>
      <x:c r="C1924" s="40"/>
      <x:c r="D1924" s="40"/>
      <x:c r="E1924" s="40"/>
      <x:c r="F1924" s="40"/>
      <x:c r="G1924" s="40"/>
      <x:c r="H1924" s="40"/>
    </x:row>
    <x:row r="1925">
      <x:c r="B1925" s="40"/>
      <x:c r="C1925" s="40"/>
      <x:c r="D1925" s="40"/>
      <x:c r="E1925" s="40"/>
      <x:c r="F1925" s="40"/>
      <x:c r="G1925" s="40"/>
      <x:c r="H1925" s="40"/>
    </x:row>
    <x:row r="1926">
      <x:c r="B1926" s="40"/>
      <x:c r="C1926" s="40"/>
      <x:c r="D1926" s="40"/>
      <x:c r="E1926" s="40"/>
      <x:c r="F1926" s="40"/>
      <x:c r="G1926" s="40"/>
      <x:c r="H1926" s="40"/>
    </x:row>
    <x:row r="1927">
      <x:c r="B1927" s="40"/>
      <x:c r="C1927" s="40"/>
      <x:c r="D1927" s="40"/>
      <x:c r="E1927" s="40"/>
      <x:c r="F1927" s="40"/>
      <x:c r="G1927" s="40"/>
      <x:c r="H1927" s="40"/>
    </x:row>
    <x:row r="1928">
      <x:c r="B1928" s="40"/>
      <x:c r="C1928" s="40"/>
      <x:c r="D1928" s="40"/>
      <x:c r="E1928" s="40"/>
      <x:c r="F1928" s="40"/>
      <x:c r="G1928" s="40"/>
      <x:c r="H1928" s="40"/>
    </x:row>
    <x:row r="1929">
      <x:c r="B1929" s="40"/>
      <x:c r="C1929" s="40"/>
      <x:c r="D1929" s="40"/>
      <x:c r="E1929" s="40"/>
      <x:c r="F1929" s="40"/>
      <x:c r="G1929" s="40"/>
      <x:c r="H1929" s="40"/>
    </x:row>
    <x:row r="1930">
      <x:c r="B1930" s="40"/>
      <x:c r="C1930" s="40"/>
      <x:c r="D1930" s="40"/>
      <x:c r="E1930" s="40"/>
      <x:c r="F1930" s="40"/>
      <x:c r="G1930" s="40"/>
      <x:c r="H1930" s="40"/>
    </x:row>
    <x:row r="1931">
      <x:c r="B1931" s="40"/>
      <x:c r="C1931" s="40"/>
      <x:c r="D1931" s="40"/>
      <x:c r="E1931" s="40"/>
      <x:c r="F1931" s="40"/>
      <x:c r="G1931" s="40"/>
      <x:c r="H1931" s="40"/>
    </x:row>
    <x:row r="1932">
      <x:c r="B1932" s="40"/>
      <x:c r="C1932" s="40"/>
      <x:c r="D1932" s="40"/>
      <x:c r="E1932" s="40"/>
      <x:c r="F1932" s="40"/>
      <x:c r="G1932" s="40"/>
      <x:c r="H1932" s="40"/>
    </x:row>
    <x:row r="1933">
      <x:c r="B1933" s="40"/>
      <x:c r="C1933" s="40"/>
      <x:c r="D1933" s="40"/>
      <x:c r="E1933" s="40"/>
      <x:c r="F1933" s="40"/>
      <x:c r="G1933" s="40"/>
      <x:c r="H1933" s="40"/>
    </x:row>
    <x:row r="1934">
      <x:c r="B1934" s="40"/>
      <x:c r="C1934" s="40"/>
      <x:c r="D1934" s="40"/>
      <x:c r="E1934" s="40"/>
      <x:c r="F1934" s="40"/>
      <x:c r="G1934" s="40"/>
      <x:c r="H1934" s="40"/>
    </x:row>
    <x:row r="1935">
      <x:c r="B1935" s="40"/>
      <x:c r="C1935" s="40"/>
      <x:c r="D1935" s="40"/>
      <x:c r="E1935" s="40"/>
      <x:c r="F1935" s="40"/>
      <x:c r="G1935" s="40"/>
      <x:c r="H1935" s="40"/>
    </x:row>
    <x:row r="1936">
      <x:c r="B1936" s="40"/>
      <x:c r="C1936" s="40"/>
      <x:c r="D1936" s="40"/>
      <x:c r="E1936" s="40"/>
      <x:c r="F1936" s="40"/>
      <x:c r="G1936" s="40"/>
      <x:c r="H1936" s="40"/>
    </x:row>
    <x:row r="1937">
      <x:c r="B1937" s="40"/>
      <x:c r="C1937" s="40"/>
      <x:c r="D1937" s="40"/>
      <x:c r="E1937" s="40"/>
      <x:c r="F1937" s="40"/>
      <x:c r="G1937" s="40"/>
      <x:c r="H1937" s="40"/>
    </x:row>
    <x:row r="1938">
      <x:c r="B1938" s="40"/>
      <x:c r="C1938" s="40"/>
      <x:c r="D1938" s="40"/>
      <x:c r="E1938" s="40"/>
      <x:c r="F1938" s="40"/>
      <x:c r="G1938" s="40"/>
      <x:c r="H1938" s="40"/>
    </x:row>
    <x:row r="1939">
      <x:c r="B1939" s="40"/>
      <x:c r="C1939" s="40"/>
      <x:c r="D1939" s="40"/>
      <x:c r="E1939" s="40"/>
      <x:c r="F1939" s="40"/>
      <x:c r="G1939" s="40"/>
      <x:c r="H1939" s="40"/>
    </x:row>
    <x:row r="1940">
      <x:c r="B1940" s="40"/>
      <x:c r="C1940" s="40"/>
      <x:c r="D1940" s="40"/>
      <x:c r="E1940" s="40"/>
      <x:c r="F1940" s="40"/>
      <x:c r="G1940" s="40"/>
      <x:c r="H1940" s="40"/>
    </x:row>
    <x:row r="1941">
      <x:c r="B1941" s="40"/>
      <x:c r="C1941" s="40"/>
      <x:c r="D1941" s="40"/>
      <x:c r="E1941" s="40"/>
      <x:c r="F1941" s="40"/>
      <x:c r="G1941" s="40"/>
      <x:c r="H1941" s="40"/>
    </x:row>
    <x:row r="1942">
      <x:c r="B1942" s="40"/>
      <x:c r="C1942" s="40"/>
      <x:c r="D1942" s="40"/>
      <x:c r="E1942" s="40"/>
      <x:c r="F1942" s="40"/>
      <x:c r="G1942" s="40"/>
      <x:c r="H1942" s="40"/>
    </x:row>
    <x:row r="1943">
      <x:c r="B1943" s="40"/>
      <x:c r="C1943" s="40"/>
      <x:c r="D1943" s="40"/>
      <x:c r="E1943" s="40"/>
      <x:c r="F1943" s="40"/>
      <x:c r="G1943" s="40"/>
      <x:c r="H1943" s="40"/>
    </x:row>
    <x:row r="1944">
      <x:c r="B1944" s="40"/>
      <x:c r="C1944" s="40"/>
      <x:c r="D1944" s="40"/>
      <x:c r="E1944" s="40"/>
      <x:c r="F1944" s="40"/>
      <x:c r="G1944" s="40"/>
      <x:c r="H1944" s="40"/>
    </x:row>
    <x:row r="1945">
      <x:c r="B1945" s="40"/>
      <x:c r="C1945" s="40"/>
      <x:c r="D1945" s="40"/>
      <x:c r="E1945" s="40"/>
      <x:c r="F1945" s="40"/>
      <x:c r="G1945" s="40"/>
      <x:c r="H1945" s="40"/>
    </x:row>
    <x:row r="1946">
      <x:c r="B1946" s="40"/>
      <x:c r="C1946" s="40"/>
      <x:c r="D1946" s="40"/>
      <x:c r="E1946" s="40"/>
      <x:c r="F1946" s="40"/>
      <x:c r="G1946" s="40"/>
      <x:c r="H1946" s="40"/>
    </x:row>
    <x:row r="1947">
      <x:c r="B1947" s="40"/>
      <x:c r="C1947" s="40"/>
      <x:c r="D1947" s="40"/>
      <x:c r="E1947" s="40"/>
      <x:c r="F1947" s="40"/>
      <x:c r="G1947" s="40"/>
      <x:c r="H1947" s="40"/>
    </x:row>
    <x:row r="1948">
      <x:c r="B1948" s="40"/>
      <x:c r="C1948" s="40"/>
      <x:c r="D1948" s="40"/>
      <x:c r="E1948" s="40"/>
      <x:c r="F1948" s="40"/>
      <x:c r="G1948" s="40"/>
      <x:c r="H1948" s="40"/>
    </x:row>
    <x:row r="1949">
      <x:c r="B1949" s="40"/>
      <x:c r="C1949" s="40"/>
      <x:c r="D1949" s="40"/>
      <x:c r="E1949" s="40"/>
      <x:c r="F1949" s="40"/>
      <x:c r="G1949" s="40"/>
      <x:c r="H1949" s="40"/>
    </x:row>
    <x:row r="1950">
      <x:c r="B1950" s="40"/>
      <x:c r="C1950" s="40"/>
      <x:c r="D1950" s="40"/>
      <x:c r="E1950" s="40"/>
      <x:c r="F1950" s="40"/>
      <x:c r="G1950" s="40"/>
      <x:c r="H1950" s="40"/>
    </x:row>
    <x:row r="1951">
      <x:c r="B1951" s="40"/>
      <x:c r="C1951" s="40"/>
      <x:c r="D1951" s="40"/>
      <x:c r="E1951" s="40"/>
      <x:c r="F1951" s="40"/>
      <x:c r="G1951" s="40"/>
      <x:c r="H1951" s="40"/>
    </x:row>
    <x:row r="1952">
      <x:c r="B1952" s="40"/>
      <x:c r="C1952" s="40"/>
      <x:c r="D1952" s="40"/>
      <x:c r="E1952" s="40"/>
      <x:c r="F1952" s="40"/>
      <x:c r="G1952" s="40"/>
      <x:c r="H1952" s="40"/>
    </x:row>
    <x:row r="1953">
      <x:c r="B1953" s="40"/>
      <x:c r="C1953" s="40"/>
      <x:c r="D1953" s="40"/>
      <x:c r="E1953" s="40"/>
      <x:c r="F1953" s="40"/>
      <x:c r="G1953" s="40"/>
      <x:c r="H1953" s="40"/>
    </x:row>
    <x:row r="1954">
      <x:c r="B1954" s="40"/>
      <x:c r="C1954" s="40"/>
      <x:c r="D1954" s="40"/>
      <x:c r="E1954" s="40"/>
      <x:c r="F1954" s="40"/>
      <x:c r="G1954" s="40"/>
      <x:c r="H1954" s="40"/>
    </x:row>
    <x:row r="1955">
      <x:c r="B1955" s="40"/>
      <x:c r="C1955" s="40"/>
      <x:c r="D1955" s="40"/>
      <x:c r="E1955" s="40"/>
      <x:c r="F1955" s="40"/>
      <x:c r="G1955" s="40"/>
      <x:c r="H1955" s="40"/>
    </x:row>
    <x:row r="1956">
      <x:c r="B1956" s="40"/>
      <x:c r="C1956" s="40"/>
      <x:c r="D1956" s="40"/>
      <x:c r="E1956" s="40"/>
      <x:c r="F1956" s="40"/>
      <x:c r="G1956" s="40"/>
      <x:c r="H1956" s="40"/>
    </x:row>
    <x:row r="1957">
      <x:c r="B1957" s="40"/>
      <x:c r="C1957" s="40"/>
      <x:c r="D1957" s="40"/>
      <x:c r="E1957" s="40"/>
      <x:c r="F1957" s="40"/>
      <x:c r="G1957" s="40"/>
      <x:c r="H1957" s="40"/>
    </x:row>
    <x:row r="1958">
      <x:c r="B1958" s="40"/>
      <x:c r="C1958" s="40"/>
      <x:c r="D1958" s="40"/>
      <x:c r="E1958" s="40"/>
      <x:c r="F1958" s="40"/>
      <x:c r="G1958" s="40"/>
      <x:c r="H1958" s="40"/>
    </x:row>
    <x:row r="1959">
      <x:c r="B1959" s="40"/>
      <x:c r="C1959" s="40"/>
      <x:c r="D1959" s="40"/>
      <x:c r="E1959" s="40"/>
      <x:c r="F1959" s="40"/>
      <x:c r="G1959" s="40"/>
      <x:c r="H1959" s="40"/>
    </x:row>
    <x:row r="1960">
      <x:c r="B1960" s="40"/>
      <x:c r="C1960" s="40"/>
      <x:c r="D1960" s="40"/>
      <x:c r="E1960" s="40"/>
      <x:c r="F1960" s="40"/>
      <x:c r="G1960" s="40"/>
      <x:c r="H1960" s="40"/>
    </x:row>
    <x:row r="1961">
      <x:c r="B1961" s="40"/>
      <x:c r="C1961" s="40"/>
      <x:c r="D1961" s="40"/>
      <x:c r="E1961" s="40"/>
      <x:c r="F1961" s="40"/>
      <x:c r="G1961" s="40"/>
      <x:c r="H1961" s="40"/>
    </x:row>
    <x:row r="1962">
      <x:c r="B1962" s="40"/>
      <x:c r="C1962" s="40"/>
      <x:c r="D1962" s="40"/>
      <x:c r="E1962" s="40"/>
      <x:c r="F1962" s="40"/>
      <x:c r="G1962" s="40"/>
      <x:c r="H1962" s="40"/>
    </x:row>
    <x:row r="1963">
      <x:c r="B1963" s="40"/>
      <x:c r="C1963" s="40"/>
      <x:c r="D1963" s="40"/>
      <x:c r="E1963" s="40"/>
      <x:c r="F1963" s="40"/>
      <x:c r="G1963" s="40"/>
      <x:c r="H1963" s="40"/>
    </x:row>
    <x:row r="1964">
      <x:c r="B1964" s="40"/>
      <x:c r="C1964" s="40"/>
      <x:c r="D1964" s="40"/>
      <x:c r="E1964" s="40"/>
      <x:c r="F1964" s="40"/>
      <x:c r="G1964" s="40"/>
      <x:c r="H1964" s="40"/>
    </x:row>
    <x:row r="1965">
      <x:c r="B1965" s="40"/>
      <x:c r="C1965" s="40"/>
      <x:c r="D1965" s="40"/>
      <x:c r="E1965" s="40"/>
      <x:c r="F1965" s="40"/>
      <x:c r="G1965" s="40"/>
      <x:c r="H1965" s="40"/>
    </x:row>
    <x:row r="1966">
      <x:c r="B1966" s="40"/>
      <x:c r="C1966" s="40"/>
      <x:c r="D1966" s="40"/>
      <x:c r="E1966" s="40"/>
      <x:c r="F1966" s="40"/>
      <x:c r="G1966" s="40"/>
      <x:c r="H1966" s="40"/>
    </x:row>
    <x:row r="1967">
      <x:c r="B1967" s="40"/>
      <x:c r="C1967" s="40"/>
      <x:c r="D1967" s="40"/>
      <x:c r="E1967" s="40"/>
      <x:c r="F1967" s="40"/>
      <x:c r="G1967" s="40"/>
      <x:c r="H1967" s="40"/>
    </x:row>
    <x:row r="1968">
      <x:c r="B1968" s="40"/>
      <x:c r="C1968" s="40"/>
      <x:c r="D1968" s="40"/>
      <x:c r="E1968" s="40"/>
      <x:c r="F1968" s="40"/>
      <x:c r="G1968" s="40"/>
      <x:c r="H1968" s="40"/>
    </x:row>
    <x:row r="1969">
      <x:c r="B1969" s="40"/>
      <x:c r="C1969" s="40"/>
      <x:c r="D1969" s="40"/>
      <x:c r="E1969" s="40"/>
      <x:c r="F1969" s="40"/>
      <x:c r="G1969" s="40"/>
      <x:c r="H1969" s="40"/>
    </x:row>
    <x:row r="1970">
      <x:c r="B1970" s="40"/>
      <x:c r="C1970" s="40"/>
      <x:c r="D1970" s="40"/>
      <x:c r="E1970" s="40"/>
      <x:c r="F1970" s="40"/>
      <x:c r="G1970" s="40"/>
      <x:c r="H1970" s="40"/>
    </x:row>
    <x:row r="1971">
      <x:c r="B1971" s="40"/>
      <x:c r="C1971" s="40"/>
      <x:c r="D1971" s="40"/>
      <x:c r="E1971" s="40"/>
      <x:c r="F1971" s="40"/>
      <x:c r="G1971" s="40"/>
      <x:c r="H1971" s="40"/>
    </x:row>
    <x:row r="1972">
      <x:c r="B1972" s="40"/>
      <x:c r="C1972" s="40"/>
      <x:c r="D1972" s="40"/>
      <x:c r="E1972" s="40"/>
      <x:c r="F1972" s="40"/>
      <x:c r="G1972" s="40"/>
      <x:c r="H1972" s="40"/>
    </x:row>
    <x:row r="1973">
      <x:c r="B1973" s="40"/>
      <x:c r="C1973" s="40"/>
      <x:c r="D1973" s="40"/>
      <x:c r="E1973" s="40"/>
      <x:c r="F1973" s="40"/>
      <x:c r="G1973" s="40"/>
      <x:c r="H1973" s="40"/>
    </x:row>
    <x:row r="1974">
      <x:c r="B1974" s="40"/>
      <x:c r="C1974" s="40"/>
      <x:c r="D1974" s="40"/>
      <x:c r="E1974" s="40"/>
      <x:c r="F1974" s="40"/>
      <x:c r="G1974" s="40"/>
      <x:c r="H1974" s="40"/>
    </x:row>
    <x:row r="1975">
      <x:c r="B1975" s="40"/>
      <x:c r="C1975" s="40"/>
      <x:c r="D1975" s="40"/>
      <x:c r="E1975" s="40"/>
      <x:c r="F1975" s="40"/>
      <x:c r="G1975" s="40"/>
      <x:c r="H1975" s="40"/>
    </x:row>
    <x:row r="1976">
      <x:c r="B1976" s="40"/>
      <x:c r="C1976" s="40"/>
      <x:c r="D1976" s="40"/>
      <x:c r="E1976" s="40"/>
      <x:c r="F1976" s="40"/>
      <x:c r="G1976" s="40"/>
      <x:c r="H1976" s="40"/>
    </x:row>
    <x:row r="1977">
      <x:c r="B1977" s="40"/>
      <x:c r="C1977" s="40"/>
      <x:c r="D1977" s="40"/>
      <x:c r="E1977" s="40"/>
      <x:c r="F1977" s="40"/>
      <x:c r="G1977" s="40"/>
      <x:c r="H1977" s="40"/>
    </x:row>
    <x:row r="1978">
      <x:c r="B1978" s="40"/>
      <x:c r="C1978" s="40"/>
      <x:c r="D1978" s="40"/>
      <x:c r="E1978" s="40"/>
      <x:c r="F1978" s="40"/>
      <x:c r="G1978" s="40"/>
      <x:c r="H1978" s="40"/>
    </x:row>
    <x:row r="1979">
      <x:c r="B1979" s="40"/>
      <x:c r="C1979" s="40"/>
      <x:c r="D1979" s="40"/>
      <x:c r="E1979" s="40"/>
      <x:c r="F1979" s="40"/>
      <x:c r="G1979" s="40"/>
      <x:c r="H1979" s="40"/>
    </x:row>
    <x:row r="1980">
      <x:c r="B1980" s="40"/>
      <x:c r="C1980" s="40"/>
      <x:c r="D1980" s="40"/>
      <x:c r="E1980" s="40"/>
      <x:c r="F1980" s="40"/>
      <x:c r="G1980" s="40"/>
      <x:c r="H1980" s="40"/>
    </x:row>
    <x:row r="1981">
      <x:c r="B1981" s="40"/>
      <x:c r="C1981" s="40"/>
      <x:c r="D1981" s="40"/>
      <x:c r="E1981" s="40"/>
      <x:c r="F1981" s="40"/>
      <x:c r="G1981" s="40"/>
      <x:c r="H1981" s="40"/>
    </x:row>
    <x:row r="1982">
      <x:c r="B1982" s="40"/>
      <x:c r="C1982" s="40"/>
      <x:c r="D1982" s="40"/>
      <x:c r="E1982" s="40"/>
      <x:c r="F1982" s="40"/>
      <x:c r="G1982" s="40"/>
      <x:c r="H1982" s="40"/>
    </x:row>
    <x:row r="1983">
      <x:c r="B1983" s="40"/>
      <x:c r="C1983" s="40"/>
      <x:c r="D1983" s="40"/>
      <x:c r="E1983" s="40"/>
      <x:c r="F1983" s="40"/>
      <x:c r="G1983" s="40"/>
      <x:c r="H1983" s="40"/>
    </x:row>
    <x:row r="1984">
      <x:c r="B1984" s="40"/>
      <x:c r="C1984" s="40"/>
      <x:c r="D1984" s="40"/>
      <x:c r="E1984" s="40"/>
      <x:c r="F1984" s="40"/>
      <x:c r="G1984" s="40"/>
      <x:c r="H1984" s="40"/>
    </x:row>
    <x:row r="1985">
      <x:c r="B1985" s="40"/>
      <x:c r="C1985" s="40"/>
      <x:c r="D1985" s="40"/>
      <x:c r="E1985" s="40"/>
      <x:c r="F1985" s="40"/>
      <x:c r="G1985" s="40"/>
      <x:c r="H1985" s="40"/>
    </x:row>
    <x:row r="1986">
      <x:c r="B1986" s="40"/>
      <x:c r="C1986" s="40"/>
      <x:c r="D1986" s="40"/>
      <x:c r="E1986" s="40"/>
      <x:c r="F1986" s="40"/>
      <x:c r="G1986" s="40"/>
      <x:c r="H1986" s="40"/>
    </x:row>
    <x:row r="1987">
      <x:c r="B1987" s="40"/>
      <x:c r="C1987" s="40"/>
      <x:c r="D1987" s="40"/>
      <x:c r="E1987" s="40"/>
      <x:c r="F1987" s="40"/>
      <x:c r="G1987" s="40"/>
      <x:c r="H1987" s="40"/>
    </x:row>
    <x:row r="1988">
      <x:c r="B1988" s="40"/>
      <x:c r="C1988" s="40"/>
      <x:c r="D1988" s="40"/>
      <x:c r="E1988" s="40"/>
      <x:c r="F1988" s="40"/>
      <x:c r="G1988" s="40"/>
      <x:c r="H1988" s="40"/>
    </x:row>
    <x:row r="1989">
      <x:c r="B1989" s="40"/>
      <x:c r="C1989" s="40"/>
      <x:c r="D1989" s="40"/>
      <x:c r="E1989" s="40"/>
      <x:c r="F1989" s="40"/>
      <x:c r="G1989" s="40"/>
      <x:c r="H1989" s="40"/>
    </x:row>
    <x:row r="1990">
      <x:c r="B1990" s="40"/>
      <x:c r="C1990" s="40"/>
      <x:c r="D1990" s="40"/>
      <x:c r="E1990" s="40"/>
      <x:c r="F1990" s="40"/>
      <x:c r="G1990" s="40"/>
      <x:c r="H1990" s="40"/>
    </x:row>
    <x:row r="1991">
      <x:c r="B1991" s="40"/>
      <x:c r="C1991" s="40"/>
      <x:c r="D1991" s="40"/>
      <x:c r="E1991" s="40"/>
      <x:c r="F1991" s="40"/>
      <x:c r="G1991" s="40"/>
      <x:c r="H1991" s="40"/>
    </x:row>
    <x:row r="1992">
      <x:c r="B1992" s="40"/>
      <x:c r="C1992" s="40"/>
      <x:c r="D1992" s="40"/>
      <x:c r="E1992" s="40"/>
      <x:c r="F1992" s="40"/>
      <x:c r="G1992" s="40"/>
      <x:c r="H1992" s="40"/>
    </x:row>
    <x:row r="1993">
      <x:c r="B1993" s="40"/>
      <x:c r="C1993" s="40"/>
      <x:c r="D1993" s="40"/>
      <x:c r="E1993" s="40"/>
      <x:c r="F1993" s="40"/>
      <x:c r="G1993" s="40"/>
      <x:c r="H1993" s="40"/>
    </x:row>
    <x:row r="1994">
      <x:c r="B1994" s="40"/>
      <x:c r="C1994" s="40"/>
      <x:c r="D1994" s="40"/>
      <x:c r="E1994" s="40"/>
      <x:c r="F1994" s="40"/>
      <x:c r="G1994" s="40"/>
      <x:c r="H1994" s="40"/>
    </x:row>
    <x:row r="1995">
      <x:c r="B1995" s="40"/>
      <x:c r="C1995" s="40"/>
      <x:c r="D1995" s="40"/>
      <x:c r="E1995" s="40"/>
      <x:c r="F1995" s="40"/>
      <x:c r="G1995" s="40"/>
      <x:c r="H1995" s="40"/>
    </x:row>
    <x:row r="1996">
      <x:c r="B1996" s="40"/>
      <x:c r="C1996" s="40"/>
      <x:c r="D1996" s="40"/>
      <x:c r="E1996" s="40"/>
      <x:c r="F1996" s="40"/>
      <x:c r="G1996" s="40"/>
      <x:c r="H1996" s="40"/>
    </x:row>
    <x:row r="1997">
      <x:c r="B1997" s="40"/>
      <x:c r="C1997" s="40"/>
      <x:c r="D1997" s="40"/>
      <x:c r="E1997" s="40"/>
      <x:c r="F1997" s="40"/>
      <x:c r="G1997" s="40"/>
      <x:c r="H1997" s="40"/>
    </x:row>
    <x:row r="1998">
      <x:c r="B1998" s="40"/>
      <x:c r="C1998" s="40"/>
      <x:c r="D1998" s="40"/>
      <x:c r="E1998" s="40"/>
      <x:c r="F1998" s="40"/>
      <x:c r="G1998" s="40"/>
      <x:c r="H1998" s="40"/>
    </x:row>
    <x:row r="1999">
      <x:c r="B1999" s="40"/>
      <x:c r="C1999" s="40"/>
      <x:c r="D1999" s="40"/>
      <x:c r="E1999" s="40"/>
      <x:c r="F1999" s="40"/>
      <x:c r="G1999" s="40"/>
      <x:c r="H1999" s="40"/>
    </x:row>
    <x:row r="2000">
      <x:c r="B2000" s="40"/>
      <x:c r="C2000" s="40"/>
      <x:c r="D2000" s="40"/>
      <x:c r="E2000" s="40"/>
      <x:c r="F2000" s="40"/>
      <x:c r="G2000" s="40"/>
      <x:c r="H2000" s="40"/>
    </x:row>
    <x:row r="2001">
      <x:c r="B2001" s="40"/>
      <x:c r="C2001" s="40"/>
      <x:c r="D2001" s="40"/>
      <x:c r="E2001" s="40"/>
      <x:c r="F2001" s="40"/>
      <x:c r="G2001" s="40"/>
      <x:c r="H2001" s="40"/>
    </x:row>
    <x:row r="2002">
      <x:c r="B2002" s="40"/>
      <x:c r="C2002" s="40"/>
      <x:c r="D2002" s="40"/>
      <x:c r="E2002" s="40"/>
      <x:c r="F2002" s="40"/>
      <x:c r="G2002" s="40"/>
      <x:c r="H2002" s="40"/>
    </x:row>
    <x:row r="2003">
      <x:c r="B2003" s="40"/>
      <x:c r="C2003" s="40"/>
      <x:c r="D2003" s="40"/>
      <x:c r="E2003" s="40"/>
      <x:c r="F2003" s="40"/>
      <x:c r="G2003" s="40"/>
      <x:c r="H2003" s="40"/>
    </x:row>
    <x:row r="2004">
      <x:c r="B2004" s="40"/>
      <x:c r="C2004" s="40"/>
      <x:c r="D2004" s="40"/>
      <x:c r="E2004" s="40"/>
      <x:c r="F2004" s="40"/>
      <x:c r="G2004" s="40"/>
      <x:c r="H2004" s="40"/>
    </x:row>
    <x:row r="2005">
      <x:c r="B2005" s="40"/>
      <x:c r="C2005" s="40"/>
      <x:c r="D2005" s="40"/>
      <x:c r="E2005" s="40"/>
      <x:c r="F2005" s="40"/>
      <x:c r="G2005" s="40"/>
      <x:c r="H2005" s="40"/>
    </x:row>
    <x:row r="2006">
      <x:c r="B2006" s="40"/>
      <x:c r="C2006" s="40"/>
      <x:c r="D2006" s="40"/>
      <x:c r="E2006" s="40"/>
      <x:c r="F2006" s="40"/>
      <x:c r="G2006" s="40"/>
      <x:c r="H2006" s="40"/>
    </x:row>
    <x:row r="2007">
      <x:c r="B2007" s="40"/>
      <x:c r="C2007" s="40"/>
      <x:c r="D2007" s="40"/>
      <x:c r="E2007" s="40"/>
      <x:c r="F2007" s="40"/>
      <x:c r="G2007" s="40"/>
      <x:c r="H2007" s="40"/>
    </x:row>
    <x:row r="2008">
      <x:c r="B2008" s="40"/>
      <x:c r="C2008" s="40"/>
      <x:c r="D2008" s="40"/>
      <x:c r="E2008" s="40"/>
      <x:c r="F2008" s="40"/>
      <x:c r="G2008" s="40"/>
      <x:c r="H2008" s="40"/>
    </x:row>
    <x:row r="2009">
      <x:c r="B2009" s="40"/>
      <x:c r="C2009" s="40"/>
      <x:c r="D2009" s="40"/>
      <x:c r="E2009" s="40"/>
      <x:c r="F2009" s="40"/>
      <x:c r="G2009" s="40"/>
      <x:c r="H2009" s="40"/>
    </x:row>
    <x:row r="2010">
      <x:c r="B2010" s="40"/>
      <x:c r="C2010" s="40"/>
      <x:c r="D2010" s="40"/>
      <x:c r="E2010" s="40"/>
      <x:c r="F2010" s="40"/>
      <x:c r="G2010" s="40"/>
      <x:c r="H2010" s="40"/>
    </x:row>
    <x:row r="2011">
      <x:c r="B2011" s="40"/>
      <x:c r="C2011" s="40"/>
      <x:c r="D2011" s="40"/>
      <x:c r="E2011" s="40"/>
      <x:c r="F2011" s="40"/>
      <x:c r="G2011" s="40"/>
      <x:c r="H2011" s="40"/>
    </x:row>
    <x:row r="2012">
      <x:c r="B2012" s="40"/>
      <x:c r="C2012" s="40"/>
      <x:c r="D2012" s="40"/>
      <x:c r="E2012" s="40"/>
      <x:c r="F2012" s="40"/>
      <x:c r="G2012" s="40"/>
      <x:c r="H2012" s="40"/>
    </x:row>
    <x:row r="2013">
      <x:c r="B2013" s="40"/>
      <x:c r="C2013" s="40"/>
      <x:c r="D2013" s="40"/>
      <x:c r="E2013" s="40"/>
      <x:c r="F2013" s="40"/>
      <x:c r="G2013" s="40"/>
      <x:c r="H2013" s="40"/>
    </x:row>
    <x:row r="2014">
      <x:c r="B2014" s="40"/>
      <x:c r="C2014" s="40"/>
      <x:c r="D2014" s="40"/>
      <x:c r="E2014" s="40"/>
      <x:c r="F2014" s="40"/>
      <x:c r="G2014" s="40"/>
      <x:c r="H2014" s="40"/>
    </x:row>
    <x:row r="2015">
      <x:c r="B2015" s="40"/>
      <x:c r="C2015" s="40"/>
      <x:c r="D2015" s="40"/>
      <x:c r="E2015" s="40"/>
      <x:c r="F2015" s="40"/>
      <x:c r="G2015" s="40"/>
      <x:c r="H2015" s="40"/>
    </x:row>
    <x:row r="2016">
      <x:c r="B2016" s="40"/>
      <x:c r="C2016" s="40"/>
      <x:c r="D2016" s="40"/>
      <x:c r="E2016" s="40"/>
      <x:c r="F2016" s="40"/>
      <x:c r="G2016" s="40"/>
      <x:c r="H2016" s="40"/>
    </x:row>
    <x:row r="2017">
      <x:c r="B2017" s="40"/>
      <x:c r="C2017" s="40"/>
      <x:c r="D2017" s="40"/>
      <x:c r="E2017" s="40"/>
      <x:c r="F2017" s="40"/>
      <x:c r="G2017" s="40"/>
      <x:c r="H2017" s="40"/>
    </x:row>
    <x:row r="2018">
      <x:c r="B2018" s="40"/>
      <x:c r="C2018" s="40"/>
      <x:c r="D2018" s="40"/>
      <x:c r="E2018" s="40"/>
      <x:c r="F2018" s="40"/>
      <x:c r="G2018" s="40"/>
      <x:c r="H2018" s="40"/>
    </x:row>
    <x:row r="2019">
      <x:c r="B2019" s="40"/>
      <x:c r="C2019" s="40"/>
      <x:c r="D2019" s="40"/>
      <x:c r="E2019" s="40"/>
      <x:c r="F2019" s="40"/>
      <x:c r="G2019" s="40"/>
      <x:c r="H2019" s="40"/>
    </x:row>
    <x:row r="2020">
      <x:c r="B2020" s="40"/>
      <x:c r="C2020" s="40"/>
      <x:c r="D2020" s="40"/>
      <x:c r="E2020" s="40"/>
      <x:c r="F2020" s="40"/>
      <x:c r="G2020" s="40"/>
      <x:c r="H2020" s="40"/>
    </x:row>
    <x:row r="2021">
      <x:c r="B2021" s="40"/>
      <x:c r="C2021" s="40"/>
      <x:c r="D2021" s="40"/>
      <x:c r="E2021" s="40"/>
      <x:c r="F2021" s="40"/>
      <x:c r="G2021" s="40"/>
      <x:c r="H2021" s="40"/>
    </x:row>
    <x:row r="2022">
      <x:c r="B2022" s="40"/>
      <x:c r="C2022" s="40"/>
      <x:c r="D2022" s="40"/>
      <x:c r="E2022" s="40"/>
      <x:c r="F2022" s="40"/>
      <x:c r="G2022" s="40"/>
      <x:c r="H2022" s="40"/>
    </x:row>
    <x:row r="2023">
      <x:c r="B2023" s="40"/>
      <x:c r="C2023" s="40"/>
      <x:c r="D2023" s="40"/>
      <x:c r="E2023" s="40"/>
      <x:c r="F2023" s="40"/>
      <x:c r="G2023" s="40"/>
      <x:c r="H2023" s="40"/>
    </x:row>
    <x:row r="2024">
      <x:c r="B2024" s="40"/>
      <x:c r="C2024" s="40"/>
      <x:c r="D2024" s="40"/>
      <x:c r="E2024" s="40"/>
      <x:c r="F2024" s="40"/>
      <x:c r="G2024" s="40"/>
      <x:c r="H2024" s="40"/>
    </x:row>
    <x:row r="2025">
      <x:c r="B2025" s="40"/>
      <x:c r="C2025" s="40"/>
      <x:c r="D2025" s="40"/>
      <x:c r="E2025" s="40"/>
      <x:c r="F2025" s="40"/>
      <x:c r="G2025" s="40"/>
      <x:c r="H2025" s="40"/>
    </x:row>
    <x:row r="2026">
      <x:c r="B2026" s="40"/>
      <x:c r="C2026" s="40"/>
      <x:c r="D2026" s="40"/>
      <x:c r="E2026" s="40"/>
      <x:c r="F2026" s="40"/>
      <x:c r="G2026" s="40"/>
      <x:c r="H2026" s="40"/>
    </x:row>
    <x:row r="2027">
      <x:c r="B2027" s="40"/>
      <x:c r="C2027" s="40"/>
      <x:c r="D2027" s="40"/>
      <x:c r="E2027" s="40"/>
      <x:c r="F2027" s="40"/>
      <x:c r="G2027" s="40"/>
      <x:c r="H2027" s="40"/>
    </x:row>
    <x:row r="2028">
      <x:c r="B2028" s="40"/>
      <x:c r="C2028" s="40"/>
      <x:c r="D2028" s="40"/>
      <x:c r="E2028" s="40"/>
      <x:c r="F2028" s="40"/>
      <x:c r="G2028" s="40"/>
      <x:c r="H2028" s="40"/>
    </x:row>
    <x:row r="2029">
      <x:c r="B2029" s="40"/>
      <x:c r="C2029" s="40"/>
      <x:c r="D2029" s="40"/>
      <x:c r="E2029" s="40"/>
      <x:c r="F2029" s="40"/>
      <x:c r="G2029" s="40"/>
      <x:c r="H2029" s="40"/>
    </x:row>
    <x:row r="2030">
      <x:c r="B2030" s="40"/>
      <x:c r="C2030" s="40"/>
      <x:c r="D2030" s="40"/>
      <x:c r="E2030" s="40"/>
      <x:c r="F2030" s="40"/>
      <x:c r="G2030" s="40"/>
      <x:c r="H2030" s="40"/>
    </x:row>
    <x:row r="2031">
      <x:c r="B2031" s="40"/>
      <x:c r="C2031" s="40"/>
      <x:c r="D2031" s="40"/>
      <x:c r="E2031" s="40"/>
      <x:c r="F2031" s="40"/>
      <x:c r="G2031" s="40"/>
      <x:c r="H2031" s="40"/>
    </x:row>
    <x:row r="2032">
      <x:c r="B2032" s="40"/>
      <x:c r="C2032" s="40"/>
      <x:c r="D2032" s="40"/>
      <x:c r="E2032" s="40"/>
      <x:c r="F2032" s="40"/>
      <x:c r="G2032" s="40"/>
      <x:c r="H2032" s="40"/>
    </x:row>
    <x:row r="2033">
      <x:c r="B2033" s="40"/>
      <x:c r="C2033" s="40"/>
      <x:c r="D2033" s="40"/>
      <x:c r="E2033" s="40"/>
      <x:c r="F2033" s="40"/>
      <x:c r="G2033" s="40"/>
      <x:c r="H2033" s="40"/>
    </x:row>
    <x:row r="2034">
      <x:c r="B2034" s="40"/>
      <x:c r="C2034" s="40"/>
      <x:c r="D2034" s="40"/>
      <x:c r="E2034" s="40"/>
      <x:c r="F2034" s="40"/>
      <x:c r="G2034" s="40"/>
      <x:c r="H2034" s="40"/>
    </x:row>
    <x:row r="2035">
      <x:c r="B2035" s="40"/>
      <x:c r="C2035" s="40"/>
      <x:c r="D2035" s="40"/>
      <x:c r="E2035" s="40"/>
      <x:c r="F2035" s="40"/>
      <x:c r="G2035" s="40"/>
      <x:c r="H2035" s="40"/>
    </x:row>
    <x:row r="2036">
      <x:c r="B2036" s="40"/>
      <x:c r="C2036" s="40"/>
      <x:c r="D2036" s="40"/>
      <x:c r="E2036" s="40"/>
      <x:c r="F2036" s="40"/>
      <x:c r="G2036" s="40"/>
      <x:c r="H2036" s="40"/>
    </x:row>
    <x:row r="2037">
      <x:c r="B2037" s="40"/>
      <x:c r="C2037" s="40"/>
      <x:c r="D2037" s="40"/>
      <x:c r="E2037" s="40"/>
      <x:c r="F2037" s="40"/>
      <x:c r="G2037" s="40"/>
      <x:c r="H2037" s="40"/>
    </x:row>
    <x:row r="2038">
      <x:c r="B2038" s="40"/>
      <x:c r="C2038" s="40"/>
      <x:c r="D2038" s="40"/>
      <x:c r="E2038" s="40"/>
      <x:c r="F2038" s="40"/>
      <x:c r="G2038" s="40"/>
      <x:c r="H2038" s="40"/>
    </x:row>
    <x:row r="2039">
      <x:c r="B2039" s="40"/>
      <x:c r="C2039" s="40"/>
      <x:c r="D2039" s="40"/>
      <x:c r="E2039" s="40"/>
      <x:c r="F2039" s="40"/>
      <x:c r="G2039" s="40"/>
      <x:c r="H2039" s="40"/>
    </x:row>
    <x:row r="2040">
      <x:c r="B2040" s="40"/>
      <x:c r="C2040" s="40"/>
      <x:c r="D2040" s="40"/>
      <x:c r="E2040" s="40"/>
      <x:c r="F2040" s="40"/>
      <x:c r="G2040" s="40"/>
      <x:c r="H2040" s="40"/>
    </x:row>
    <x:row r="2041">
      <x:c r="B2041" s="40"/>
      <x:c r="C2041" s="40"/>
      <x:c r="D2041" s="40"/>
      <x:c r="E2041" s="40"/>
      <x:c r="F2041" s="40"/>
      <x:c r="G2041" s="40"/>
      <x:c r="H2041" s="40"/>
    </x:row>
    <x:row r="2042">
      <x:c r="B2042" s="40"/>
      <x:c r="C2042" s="40"/>
      <x:c r="D2042" s="40"/>
      <x:c r="E2042" s="40"/>
      <x:c r="F2042" s="40"/>
      <x:c r="G2042" s="40"/>
      <x:c r="H2042" s="40"/>
    </x:row>
    <x:row r="2043">
      <x:c r="B2043" s="40"/>
      <x:c r="C2043" s="40"/>
      <x:c r="D2043" s="40"/>
      <x:c r="E2043" s="40"/>
      <x:c r="F2043" s="40"/>
      <x:c r="G2043" s="40"/>
      <x:c r="H2043" s="40"/>
    </x:row>
    <x:row r="2044">
      <x:c r="B2044" s="40"/>
      <x:c r="C2044" s="40"/>
      <x:c r="D2044" s="40"/>
      <x:c r="E2044" s="40"/>
      <x:c r="F2044" s="40"/>
      <x:c r="G2044" s="40"/>
      <x:c r="H2044" s="40"/>
    </x:row>
    <x:row r="2045">
      <x:c r="B2045" s="40"/>
      <x:c r="C2045" s="40"/>
      <x:c r="D2045" s="40"/>
      <x:c r="E2045" s="40"/>
      <x:c r="F2045" s="40"/>
      <x:c r="G2045" s="40"/>
      <x:c r="H2045" s="40"/>
    </x:row>
    <x:row r="2046">
      <x:c r="B2046" s="40"/>
      <x:c r="C2046" s="40"/>
      <x:c r="D2046" s="40"/>
      <x:c r="E2046" s="40"/>
      <x:c r="F2046" s="40"/>
      <x:c r="G2046" s="40"/>
      <x:c r="H2046" s="40"/>
    </x:row>
    <x:row r="2047">
      <x:c r="B2047" s="40"/>
      <x:c r="C2047" s="40"/>
      <x:c r="D2047" s="40"/>
      <x:c r="E2047" s="40"/>
      <x:c r="F2047" s="40"/>
      <x:c r="G2047" s="40"/>
      <x:c r="H2047" s="40"/>
    </x:row>
    <x:row r="2048">
      <x:c r="B2048" s="40"/>
      <x:c r="C2048" s="40"/>
      <x:c r="D2048" s="40"/>
      <x:c r="E2048" s="40"/>
      <x:c r="F2048" s="40"/>
      <x:c r="G2048" s="40"/>
      <x:c r="H2048" s="40"/>
    </x:row>
    <x:row r="2049">
      <x:c r="B2049" s="40"/>
      <x:c r="C2049" s="40"/>
      <x:c r="D2049" s="40"/>
      <x:c r="E2049" s="40"/>
      <x:c r="F2049" s="40"/>
      <x:c r="G2049" s="40"/>
      <x:c r="H2049" s="40"/>
    </x:row>
    <x:row r="2050">
      <x:c r="B2050" s="40"/>
      <x:c r="C2050" s="40"/>
      <x:c r="D2050" s="40"/>
      <x:c r="E2050" s="40"/>
      <x:c r="F2050" s="40"/>
      <x:c r="G2050" s="40"/>
      <x:c r="H2050" s="40"/>
    </x:row>
    <x:row r="2051">
      <x:c r="B2051" s="40"/>
      <x:c r="C2051" s="40"/>
      <x:c r="D2051" s="40"/>
      <x:c r="E2051" s="40"/>
      <x:c r="F2051" s="40"/>
      <x:c r="G2051" s="40"/>
      <x:c r="H2051" s="40"/>
    </x:row>
    <x:row r="2052">
      <x:c r="B2052" s="40"/>
      <x:c r="C2052" s="40"/>
      <x:c r="D2052" s="40"/>
      <x:c r="E2052" s="40"/>
      <x:c r="F2052" s="40"/>
      <x:c r="G2052" s="40"/>
      <x:c r="H2052" s="40"/>
    </x:row>
    <x:row r="2053">
      <x:c r="B2053" s="40"/>
      <x:c r="C2053" s="40"/>
      <x:c r="D2053" s="40"/>
      <x:c r="E2053" s="40"/>
      <x:c r="F2053" s="40"/>
      <x:c r="G2053" s="40"/>
      <x:c r="H2053" s="40"/>
    </x:row>
    <x:row r="2054">
      <x:c r="B2054" s="40"/>
      <x:c r="C2054" s="40"/>
      <x:c r="D2054" s="40"/>
      <x:c r="E2054" s="40"/>
      <x:c r="F2054" s="40"/>
      <x:c r="G2054" s="40"/>
      <x:c r="H2054" s="40"/>
    </x:row>
    <x:row r="2055">
      <x:c r="B2055" s="40"/>
      <x:c r="C2055" s="40"/>
      <x:c r="D2055" s="40"/>
      <x:c r="E2055" s="40"/>
      <x:c r="F2055" s="40"/>
      <x:c r="G2055" s="40"/>
      <x:c r="H2055" s="40"/>
    </x:row>
    <x:row r="2056">
      <x:c r="B2056" s="40"/>
      <x:c r="C2056" s="40"/>
      <x:c r="D2056" s="40"/>
      <x:c r="E2056" s="40"/>
      <x:c r="F2056" s="40"/>
      <x:c r="G2056" s="40"/>
      <x:c r="H2056" s="40"/>
    </x:row>
    <x:row r="2057">
      <x:c r="B2057" s="40"/>
      <x:c r="C2057" s="40"/>
      <x:c r="D2057" s="40"/>
      <x:c r="E2057" s="40"/>
      <x:c r="F2057" s="40"/>
      <x:c r="G2057" s="40"/>
      <x:c r="H2057" s="40"/>
    </x:row>
    <x:row r="2058">
      <x:c r="B2058" s="40"/>
      <x:c r="C2058" s="40"/>
      <x:c r="D2058" s="40"/>
      <x:c r="E2058" s="40"/>
      <x:c r="F2058" s="40"/>
      <x:c r="G2058" s="40"/>
      <x:c r="H2058" s="40"/>
    </x:row>
    <x:row r="2059">
      <x:c r="B2059" s="40"/>
      <x:c r="C2059" s="40"/>
      <x:c r="D2059" s="40"/>
      <x:c r="E2059" s="40"/>
      <x:c r="F2059" s="40"/>
      <x:c r="G2059" s="40"/>
      <x:c r="H2059" s="40"/>
    </x:row>
    <x:row r="2060">
      <x:c r="B2060" s="40"/>
      <x:c r="C2060" s="40"/>
      <x:c r="D2060" s="40"/>
      <x:c r="E2060" s="40"/>
      <x:c r="F2060" s="40"/>
      <x:c r="G2060" s="40"/>
      <x:c r="H2060" s="40"/>
    </x:row>
    <x:row r="2061">
      <x:c r="B2061" s="40"/>
      <x:c r="C2061" s="40"/>
      <x:c r="D2061" s="40"/>
      <x:c r="E2061" s="40"/>
      <x:c r="F2061" s="40"/>
      <x:c r="G2061" s="40"/>
      <x:c r="H2061" s="40"/>
    </x:row>
    <x:row r="2062">
      <x:c r="B2062" s="40"/>
      <x:c r="C2062" s="40"/>
      <x:c r="D2062" s="40"/>
      <x:c r="E2062" s="40"/>
      <x:c r="F2062" s="40"/>
      <x:c r="G2062" s="40"/>
      <x:c r="H2062" s="40"/>
    </x:row>
    <x:row r="2063">
      <x:c r="B2063" s="40"/>
      <x:c r="C2063" s="40"/>
      <x:c r="D2063" s="40"/>
      <x:c r="E2063" s="40"/>
      <x:c r="F2063" s="40"/>
      <x:c r="G2063" s="40"/>
      <x:c r="H2063" s="40"/>
    </x:row>
    <x:row r="2064">
      <x:c r="B2064" s="40"/>
      <x:c r="C2064" s="40"/>
      <x:c r="D2064" s="40"/>
      <x:c r="E2064" s="40"/>
      <x:c r="F2064" s="40"/>
      <x:c r="G2064" s="40"/>
      <x:c r="H2064" s="40"/>
    </x:row>
    <x:row r="2065">
      <x:c r="B2065" s="40"/>
      <x:c r="C2065" s="40"/>
      <x:c r="D2065" s="40"/>
      <x:c r="E2065" s="40"/>
      <x:c r="F2065" s="40"/>
      <x:c r="G2065" s="40"/>
      <x:c r="H2065" s="40"/>
    </x:row>
    <x:row r="2066">
      <x:c r="B2066" s="40"/>
      <x:c r="C2066" s="40"/>
      <x:c r="D2066" s="40"/>
      <x:c r="E2066" s="40"/>
      <x:c r="F2066" s="40"/>
      <x:c r="G2066" s="40"/>
      <x:c r="H2066" s="40"/>
    </x:row>
    <x:row r="2067">
      <x:c r="B2067" s="40"/>
      <x:c r="C2067" s="40"/>
      <x:c r="D2067" s="40"/>
      <x:c r="E2067" s="40"/>
      <x:c r="F2067" s="40"/>
      <x:c r="G2067" s="40"/>
      <x:c r="H2067" s="40"/>
    </x:row>
    <x:row r="2068">
      <x:c r="B2068" s="40"/>
      <x:c r="C2068" s="40"/>
      <x:c r="D2068" s="40"/>
      <x:c r="E2068" s="40"/>
      <x:c r="F2068" s="40"/>
      <x:c r="G2068" s="40"/>
      <x:c r="H2068" s="40"/>
    </x:row>
    <x:row r="2069">
      <x:c r="B2069" s="40"/>
      <x:c r="C2069" s="40"/>
      <x:c r="D2069" s="40"/>
      <x:c r="E2069" s="40"/>
      <x:c r="F2069" s="40"/>
      <x:c r="G2069" s="40"/>
      <x:c r="H2069" s="40"/>
    </x:row>
    <x:row r="2070">
      <x:c r="B2070" s="40"/>
      <x:c r="C2070" s="40"/>
      <x:c r="D2070" s="40"/>
      <x:c r="E2070" s="40"/>
      <x:c r="F2070" s="40"/>
      <x:c r="G2070" s="40"/>
      <x:c r="H2070" s="40"/>
    </x:row>
    <x:row r="2071">
      <x:c r="B2071" s="40"/>
      <x:c r="C2071" s="40"/>
      <x:c r="D2071" s="40"/>
      <x:c r="E2071" s="40"/>
      <x:c r="F2071" s="40"/>
      <x:c r="G2071" s="40"/>
      <x:c r="H2071" s="40"/>
    </x:row>
    <x:row r="2072">
      <x:c r="B2072" s="40"/>
      <x:c r="C2072" s="40"/>
      <x:c r="D2072" s="40"/>
      <x:c r="E2072" s="40"/>
      <x:c r="F2072" s="40"/>
      <x:c r="G2072" s="40"/>
      <x:c r="H2072" s="40"/>
    </x:row>
    <x:row r="2073">
      <x:c r="B2073" s="40"/>
      <x:c r="C2073" s="40"/>
      <x:c r="D2073" s="40"/>
      <x:c r="E2073" s="40"/>
      <x:c r="F2073" s="40"/>
      <x:c r="G2073" s="40"/>
      <x:c r="H2073" s="40"/>
    </x:row>
    <x:row r="2074">
      <x:c r="B2074" s="40"/>
      <x:c r="C2074" s="40"/>
      <x:c r="D2074" s="40"/>
      <x:c r="E2074" s="40"/>
      <x:c r="F2074" s="40"/>
      <x:c r="G2074" s="40"/>
      <x:c r="H2074" s="40"/>
    </x:row>
    <x:row r="2075">
      <x:c r="B2075" s="40"/>
      <x:c r="C2075" s="40"/>
      <x:c r="D2075" s="40"/>
      <x:c r="E2075" s="40"/>
      <x:c r="F2075" s="40"/>
      <x:c r="G2075" s="40"/>
      <x:c r="H2075" s="40"/>
    </x:row>
    <x:row r="2076">
      <x:c r="B2076" s="40"/>
      <x:c r="C2076" s="40"/>
      <x:c r="D2076" s="40"/>
      <x:c r="E2076" s="40"/>
      <x:c r="F2076" s="40"/>
      <x:c r="G2076" s="40"/>
      <x:c r="H2076" s="40"/>
    </x:row>
    <x:row r="2077">
      <x:c r="B2077" s="40"/>
      <x:c r="C2077" s="40"/>
      <x:c r="D2077" s="40"/>
      <x:c r="E2077" s="40"/>
      <x:c r="F2077" s="40"/>
      <x:c r="G2077" s="40"/>
      <x:c r="H2077" s="40"/>
    </x:row>
    <x:row r="2078">
      <x:c r="B2078" s="40"/>
      <x:c r="C2078" s="40"/>
      <x:c r="D2078" s="40"/>
      <x:c r="E2078" s="40"/>
      <x:c r="F2078" s="40"/>
      <x:c r="G2078" s="40"/>
      <x:c r="H2078" s="40"/>
    </x:row>
    <x:row r="2079">
      <x:c r="B2079" s="40"/>
      <x:c r="C2079" s="40"/>
      <x:c r="D2079" s="40"/>
      <x:c r="E2079" s="40"/>
      <x:c r="F2079" s="40"/>
      <x:c r="G2079" s="40"/>
      <x:c r="H2079" s="40"/>
    </x:row>
    <x:row r="2080">
      <x:c r="B2080" s="40"/>
      <x:c r="C2080" s="40"/>
      <x:c r="D2080" s="40"/>
      <x:c r="E2080" s="40"/>
      <x:c r="F2080" s="40"/>
      <x:c r="G2080" s="40"/>
      <x:c r="H2080" s="40"/>
    </x:row>
    <x:row r="2081">
      <x:c r="B2081" s="40"/>
      <x:c r="C2081" s="40"/>
      <x:c r="D2081" s="40"/>
      <x:c r="E2081" s="40"/>
      <x:c r="F2081" s="40"/>
      <x:c r="G2081" s="40"/>
      <x:c r="H2081" s="40"/>
    </x:row>
    <x:row r="2082">
      <x:c r="B2082" s="40"/>
      <x:c r="C2082" s="40"/>
      <x:c r="D2082" s="40"/>
      <x:c r="E2082" s="40"/>
      <x:c r="F2082" s="40"/>
      <x:c r="G2082" s="40"/>
      <x:c r="H2082" s="40"/>
    </x:row>
    <x:row r="2083">
      <x:c r="B2083" s="40"/>
      <x:c r="C2083" s="40"/>
      <x:c r="D2083" s="40"/>
      <x:c r="E2083" s="40"/>
      <x:c r="F2083" s="40"/>
      <x:c r="G2083" s="40"/>
      <x:c r="H2083" s="40"/>
    </x:row>
    <x:row r="2084">
      <x:c r="B2084" s="40"/>
      <x:c r="C2084" s="40"/>
      <x:c r="D2084" s="40"/>
      <x:c r="E2084" s="40"/>
      <x:c r="F2084" s="40"/>
      <x:c r="G2084" s="40"/>
      <x:c r="H2084" s="40"/>
    </x:row>
    <x:row r="2085">
      <x:c r="B2085" s="40"/>
      <x:c r="C2085" s="40"/>
      <x:c r="D2085" s="40"/>
      <x:c r="E2085" s="40"/>
      <x:c r="F2085" s="40"/>
      <x:c r="G2085" s="40"/>
      <x:c r="H2085" s="40"/>
    </x:row>
    <x:row r="2086">
      <x:c r="B2086" s="40"/>
      <x:c r="C2086" s="40"/>
      <x:c r="D2086" s="40"/>
      <x:c r="E2086" s="40"/>
      <x:c r="F2086" s="40"/>
      <x:c r="G2086" s="40"/>
      <x:c r="H2086" s="40"/>
    </x:row>
    <x:row r="2087">
      <x:c r="B2087" s="40"/>
      <x:c r="C2087" s="40"/>
      <x:c r="D2087" s="40"/>
      <x:c r="E2087" s="40"/>
      <x:c r="F2087" s="40"/>
      <x:c r="G2087" s="40"/>
      <x:c r="H2087" s="40"/>
    </x:row>
    <x:row r="2088">
      <x:c r="B2088" s="40"/>
      <x:c r="C2088" s="40"/>
      <x:c r="D2088" s="40"/>
      <x:c r="E2088" s="40"/>
      <x:c r="F2088" s="40"/>
      <x:c r="G2088" s="40"/>
      <x:c r="H2088" s="40"/>
    </x:row>
    <x:row r="2089">
      <x:c r="B2089" s="40"/>
      <x:c r="C2089" s="40"/>
      <x:c r="D2089" s="40"/>
      <x:c r="E2089" s="40"/>
      <x:c r="F2089" s="40"/>
      <x:c r="G2089" s="40"/>
      <x:c r="H2089" s="40"/>
    </x:row>
    <x:row r="2090">
      <x:c r="B2090" s="40"/>
      <x:c r="C2090" s="40"/>
      <x:c r="D2090" s="40"/>
      <x:c r="E2090" s="40"/>
      <x:c r="F2090" s="40"/>
      <x:c r="G2090" s="40"/>
      <x:c r="H2090" s="40"/>
    </x:row>
    <x:row r="2091">
      <x:c r="B2091" s="40"/>
      <x:c r="C2091" s="40"/>
      <x:c r="D2091" s="40"/>
      <x:c r="E2091" s="40"/>
      <x:c r="F2091" s="40"/>
      <x:c r="G2091" s="40"/>
      <x:c r="H2091" s="40"/>
    </x:row>
    <x:row r="2092">
      <x:c r="B2092" s="40"/>
      <x:c r="C2092" s="40"/>
      <x:c r="D2092" s="40"/>
      <x:c r="E2092" s="40"/>
      <x:c r="F2092" s="40"/>
      <x:c r="G2092" s="40"/>
      <x:c r="H2092" s="40"/>
    </x:row>
    <x:row r="2093">
      <x:c r="B2093" s="40"/>
      <x:c r="C2093" s="40"/>
      <x:c r="D2093" s="40"/>
      <x:c r="E2093" s="40"/>
      <x:c r="F2093" s="40"/>
      <x:c r="G2093" s="40"/>
      <x:c r="H2093" s="40"/>
    </x:row>
    <x:row r="2094">
      <x:c r="B2094" s="40"/>
      <x:c r="C2094" s="40"/>
      <x:c r="D2094" s="40"/>
      <x:c r="E2094" s="40"/>
      <x:c r="F2094" s="40"/>
      <x:c r="G2094" s="40"/>
      <x:c r="H2094" s="40"/>
    </x:row>
    <x:row r="2095">
      <x:c r="B2095" s="40"/>
      <x:c r="C2095" s="40"/>
      <x:c r="D2095" s="40"/>
      <x:c r="E2095" s="40"/>
      <x:c r="F2095" s="40"/>
      <x:c r="G2095" s="40"/>
      <x:c r="H2095" s="40"/>
    </x:row>
    <x:row r="2096">
      <x:c r="B2096" s="40"/>
      <x:c r="C2096" s="40"/>
      <x:c r="D2096" s="40"/>
      <x:c r="E2096" s="40"/>
      <x:c r="F2096" s="40"/>
      <x:c r="G2096" s="40"/>
      <x:c r="H2096" s="40"/>
    </x:row>
    <x:row r="2097">
      <x:c r="B2097" s="40"/>
      <x:c r="C2097" s="40"/>
      <x:c r="D2097" s="40"/>
      <x:c r="E2097" s="40"/>
      <x:c r="F2097" s="40"/>
      <x:c r="G2097" s="40"/>
      <x:c r="H2097" s="40"/>
    </x:row>
    <x:row r="2098">
      <x:c r="B2098" s="40"/>
      <x:c r="C2098" s="40"/>
      <x:c r="D2098" s="40"/>
      <x:c r="E2098" s="40"/>
      <x:c r="F2098" s="40"/>
      <x:c r="G2098" s="40"/>
      <x:c r="H2098" s="40"/>
    </x:row>
    <x:row r="2099">
      <x:c r="B2099" s="40"/>
      <x:c r="C2099" s="40"/>
      <x:c r="D2099" s="40"/>
      <x:c r="E2099" s="40"/>
      <x:c r="F2099" s="40"/>
      <x:c r="G2099" s="40"/>
      <x:c r="H2099" s="40"/>
    </x:row>
    <x:row r="2100">
      <x:c r="B2100" s="40"/>
      <x:c r="C2100" s="40"/>
      <x:c r="D2100" s="40"/>
      <x:c r="E2100" s="40"/>
      <x:c r="F2100" s="40"/>
      <x:c r="G2100" s="40"/>
      <x:c r="H2100" s="40"/>
    </x:row>
    <x:row r="2101">
      <x:c r="B2101" s="40"/>
      <x:c r="C2101" s="40"/>
      <x:c r="D2101" s="40"/>
      <x:c r="E2101" s="40"/>
      <x:c r="F2101" s="40"/>
      <x:c r="G2101" s="40"/>
      <x:c r="H2101" s="40"/>
    </x:row>
    <x:row r="2102">
      <x:c r="B2102" s="40"/>
      <x:c r="C2102" s="40"/>
      <x:c r="D2102" s="40"/>
      <x:c r="E2102" s="40"/>
      <x:c r="F2102" s="40"/>
      <x:c r="G2102" s="40"/>
      <x:c r="H2102" s="40"/>
    </x:row>
    <x:row r="2103">
      <x:c r="B2103" s="40"/>
      <x:c r="C2103" s="40"/>
      <x:c r="D2103" s="40"/>
      <x:c r="E2103" s="40"/>
      <x:c r="F2103" s="40"/>
      <x:c r="G2103" s="40"/>
      <x:c r="H2103" s="40"/>
    </x:row>
    <x:row r="2104">
      <x:c r="B2104" s="40"/>
      <x:c r="C2104" s="40"/>
      <x:c r="D2104" s="40"/>
      <x:c r="E2104" s="40"/>
      <x:c r="F2104" s="40"/>
      <x:c r="G2104" s="40"/>
      <x:c r="H2104" s="40"/>
    </x:row>
    <x:row r="2105">
      <x:c r="B2105" s="40"/>
      <x:c r="C2105" s="40"/>
      <x:c r="D2105" s="40"/>
      <x:c r="E2105" s="40"/>
      <x:c r="F2105" s="40"/>
      <x:c r="G2105" s="40"/>
      <x:c r="H2105" s="40"/>
    </x:row>
    <x:row r="2106">
      <x:c r="B2106" s="40"/>
      <x:c r="C2106" s="40"/>
      <x:c r="D2106" s="40"/>
      <x:c r="E2106" s="40"/>
      <x:c r="F2106" s="40"/>
      <x:c r="G2106" s="40"/>
      <x:c r="H2106" s="40"/>
    </x:row>
    <x:row r="2107">
      <x:c r="B2107" s="40"/>
      <x:c r="C2107" s="40"/>
      <x:c r="D2107" s="40"/>
      <x:c r="E2107" s="40"/>
      <x:c r="F2107" s="40"/>
      <x:c r="G2107" s="40"/>
      <x:c r="H2107" s="40"/>
    </x:row>
    <x:row r="2108">
      <x:c r="B2108" s="40"/>
      <x:c r="C2108" s="40"/>
      <x:c r="D2108" s="40"/>
      <x:c r="E2108" s="40"/>
      <x:c r="F2108" s="40"/>
      <x:c r="G2108" s="40"/>
      <x:c r="H2108" s="40"/>
    </x:row>
    <x:row r="2109">
      <x:c r="B2109" s="40"/>
      <x:c r="C2109" s="40"/>
      <x:c r="D2109" s="40"/>
      <x:c r="E2109" s="40"/>
      <x:c r="F2109" s="40"/>
      <x:c r="G2109" s="40"/>
      <x:c r="H2109" s="40"/>
    </x:row>
    <x:row r="2110">
      <x:c r="B2110" s="40"/>
      <x:c r="C2110" s="40"/>
      <x:c r="D2110" s="40"/>
      <x:c r="E2110" s="40"/>
      <x:c r="F2110" s="40"/>
      <x:c r="G2110" s="40"/>
      <x:c r="H2110" s="40"/>
    </x:row>
    <x:row r="2111">
      <x:c r="B2111" s="40"/>
      <x:c r="C2111" s="40"/>
      <x:c r="D2111" s="40"/>
      <x:c r="E2111" s="40"/>
      <x:c r="F2111" s="40"/>
      <x:c r="G2111" s="40"/>
      <x:c r="H2111" s="40"/>
    </x:row>
    <x:row r="2112">
      <x:c r="B2112" s="40"/>
      <x:c r="C2112" s="40"/>
      <x:c r="D2112" s="40"/>
      <x:c r="E2112" s="40"/>
      <x:c r="F2112" s="40"/>
      <x:c r="G2112" s="40"/>
      <x:c r="H2112" s="40"/>
    </x:row>
    <x:row r="2113">
      <x:c r="B2113" s="40"/>
      <x:c r="C2113" s="40"/>
      <x:c r="D2113" s="40"/>
      <x:c r="E2113" s="40"/>
      <x:c r="F2113" s="40"/>
      <x:c r="G2113" s="40"/>
      <x:c r="H2113" s="40"/>
    </x:row>
    <x:row r="2114">
      <x:c r="B2114" s="40"/>
      <x:c r="C2114" s="40"/>
      <x:c r="D2114" s="40"/>
      <x:c r="E2114" s="40"/>
      <x:c r="F2114" s="40"/>
      <x:c r="G2114" s="40"/>
      <x:c r="H2114" s="40"/>
    </x:row>
    <x:row r="2115">
      <x:c r="B2115" s="40"/>
      <x:c r="C2115" s="40"/>
      <x:c r="D2115" s="40"/>
      <x:c r="E2115" s="40"/>
      <x:c r="F2115" s="40"/>
      <x:c r="G2115" s="40"/>
      <x:c r="H2115" s="40"/>
    </x:row>
    <x:row r="2116">
      <x:c r="B2116" s="40"/>
      <x:c r="C2116" s="40"/>
      <x:c r="D2116" s="40"/>
      <x:c r="E2116" s="40"/>
      <x:c r="F2116" s="40"/>
      <x:c r="G2116" s="40"/>
      <x:c r="H2116" s="40"/>
    </x:row>
    <x:row r="2117">
      <x:c r="B2117" s="40"/>
      <x:c r="C2117" s="40"/>
      <x:c r="D2117" s="40"/>
      <x:c r="E2117" s="40"/>
      <x:c r="F2117" s="40"/>
      <x:c r="G2117" s="40"/>
      <x:c r="H2117" s="40"/>
    </x:row>
    <x:row r="2118">
      <x:c r="B2118" s="40"/>
      <x:c r="C2118" s="40"/>
      <x:c r="D2118" s="40"/>
      <x:c r="E2118" s="40"/>
      <x:c r="F2118" s="40"/>
      <x:c r="G2118" s="40"/>
      <x:c r="H2118" s="40"/>
    </x:row>
    <x:row r="2119">
      <x:c r="B2119" s="40"/>
      <x:c r="C2119" s="40"/>
      <x:c r="D2119" s="40"/>
      <x:c r="E2119" s="40"/>
      <x:c r="F2119" s="40"/>
      <x:c r="G2119" s="40"/>
      <x:c r="H2119" s="40"/>
    </x:row>
    <x:row r="2120">
      <x:c r="B2120" s="40"/>
      <x:c r="C2120" s="40"/>
      <x:c r="D2120" s="40"/>
      <x:c r="E2120" s="40"/>
      <x:c r="F2120" s="40"/>
      <x:c r="G2120" s="40"/>
      <x:c r="H2120" s="40"/>
    </x:row>
    <x:row r="2121">
      <x:c r="B2121" s="40"/>
      <x:c r="C2121" s="40"/>
      <x:c r="D2121" s="40"/>
      <x:c r="E2121" s="40"/>
      <x:c r="F2121" s="40"/>
      <x:c r="G2121" s="40"/>
      <x:c r="H2121" s="40"/>
    </x:row>
    <x:row r="2122">
      <x:c r="B2122" s="40"/>
      <x:c r="C2122" s="40"/>
      <x:c r="D2122" s="40"/>
      <x:c r="E2122" s="40"/>
      <x:c r="F2122" s="40"/>
      <x:c r="G2122" s="40"/>
      <x:c r="H2122" s="40"/>
    </x:row>
    <x:row r="2123">
      <x:c r="B2123" s="40"/>
      <x:c r="C2123" s="40"/>
      <x:c r="D2123" s="40"/>
      <x:c r="E2123" s="40"/>
      <x:c r="F2123" s="40"/>
      <x:c r="G2123" s="40"/>
      <x:c r="H2123" s="40"/>
    </x:row>
    <x:row r="2124">
      <x:c r="B2124" s="40"/>
      <x:c r="C2124" s="40"/>
      <x:c r="D2124" s="40"/>
      <x:c r="E2124" s="40"/>
      <x:c r="F2124" s="40"/>
      <x:c r="G2124" s="40"/>
      <x:c r="H2124" s="40"/>
    </x:row>
    <x:row r="2125">
      <x:c r="B2125" s="40"/>
      <x:c r="C2125" s="40"/>
      <x:c r="D2125" s="40"/>
      <x:c r="E2125" s="40"/>
      <x:c r="F2125" s="40"/>
      <x:c r="G2125" s="40"/>
      <x:c r="H2125" s="40"/>
    </x:row>
    <x:row r="2126">
      <x:c r="B2126" s="40"/>
      <x:c r="C2126" s="40"/>
      <x:c r="D2126" s="40"/>
      <x:c r="E2126" s="40"/>
      <x:c r="F2126" s="40"/>
      <x:c r="G2126" s="40"/>
      <x:c r="H2126" s="40"/>
    </x:row>
    <x:row r="2127">
      <x:c r="B2127" s="40"/>
      <x:c r="C2127" s="40"/>
      <x:c r="D2127" s="40"/>
      <x:c r="E2127" s="40"/>
      <x:c r="F2127" s="40"/>
      <x:c r="G2127" s="40"/>
      <x:c r="H2127" s="40"/>
    </x:row>
    <x:row r="2128">
      <x:c r="B2128" s="40"/>
      <x:c r="C2128" s="40"/>
      <x:c r="D2128" s="40"/>
      <x:c r="E2128" s="40"/>
      <x:c r="F2128" s="40"/>
      <x:c r="G2128" s="40"/>
      <x:c r="H2128" s="40"/>
    </x:row>
    <x:row r="2129">
      <x:c r="B2129" s="40"/>
      <x:c r="C2129" s="40"/>
      <x:c r="D2129" s="40"/>
      <x:c r="E2129" s="40"/>
      <x:c r="F2129" s="40"/>
      <x:c r="G2129" s="40"/>
      <x:c r="H2129" s="40"/>
    </x:row>
    <x:row r="2130">
      <x:c r="B2130" s="40"/>
      <x:c r="C2130" s="40"/>
      <x:c r="D2130" s="40"/>
      <x:c r="E2130" s="40"/>
      <x:c r="F2130" s="40"/>
      <x:c r="G2130" s="40"/>
      <x:c r="H2130" s="40"/>
    </x:row>
    <x:row r="2131">
      <x:c r="B2131" s="40"/>
      <x:c r="C2131" s="40"/>
      <x:c r="D2131" s="40"/>
      <x:c r="E2131" s="40"/>
      <x:c r="F2131" s="40"/>
      <x:c r="G2131" s="40"/>
      <x:c r="H2131" s="40"/>
    </x:row>
    <x:row r="2132">
      <x:c r="B2132" s="40"/>
      <x:c r="C2132" s="40"/>
      <x:c r="D2132" s="40"/>
      <x:c r="E2132" s="40"/>
      <x:c r="F2132" s="40"/>
      <x:c r="G2132" s="40"/>
      <x:c r="H2132" s="40"/>
    </x:row>
    <x:row r="2133">
      <x:c r="B2133" s="40"/>
      <x:c r="C2133" s="40"/>
      <x:c r="D2133" s="40"/>
      <x:c r="E2133" s="40"/>
      <x:c r="F2133" s="40"/>
      <x:c r="G2133" s="40"/>
      <x:c r="H2133" s="40"/>
    </x:row>
    <x:row r="2134">
      <x:c r="B2134" s="40"/>
      <x:c r="C2134" s="40"/>
      <x:c r="D2134" s="40"/>
      <x:c r="E2134" s="40"/>
      <x:c r="F2134" s="40"/>
      <x:c r="G2134" s="40"/>
      <x:c r="H2134" s="40"/>
    </x:row>
    <x:row r="2135">
      <x:c r="B2135" s="40"/>
      <x:c r="C2135" s="40"/>
      <x:c r="D2135" s="40"/>
      <x:c r="E2135" s="40"/>
      <x:c r="F2135" s="40"/>
      <x:c r="G2135" s="40"/>
      <x:c r="H2135" s="40"/>
    </x:row>
    <x:row r="2136">
      <x:c r="B2136" s="40"/>
      <x:c r="C2136" s="40"/>
      <x:c r="D2136" s="40"/>
      <x:c r="E2136" s="40"/>
      <x:c r="F2136" s="40"/>
      <x:c r="G2136" s="40"/>
      <x:c r="H2136" s="40"/>
    </x:row>
    <x:row r="2137">
      <x:c r="B2137" s="40"/>
      <x:c r="C2137" s="40"/>
      <x:c r="D2137" s="40"/>
      <x:c r="E2137" s="40"/>
      <x:c r="F2137" s="40"/>
      <x:c r="G2137" s="40"/>
      <x:c r="H2137" s="40"/>
    </x:row>
    <x:row r="2138">
      <x:c r="B2138" s="40"/>
      <x:c r="C2138" s="40"/>
      <x:c r="D2138" s="40"/>
      <x:c r="E2138" s="40"/>
      <x:c r="F2138" s="40"/>
      <x:c r="G2138" s="40"/>
      <x:c r="H2138" s="40"/>
    </x:row>
    <x:row r="2139">
      <x:c r="B2139" s="40"/>
      <x:c r="C2139" s="40"/>
      <x:c r="D2139" s="40"/>
      <x:c r="E2139" s="40"/>
      <x:c r="F2139" s="40"/>
      <x:c r="G2139" s="40"/>
      <x:c r="H2139" s="40"/>
    </x:row>
    <x:row r="2140">
      <x:c r="B2140" s="40"/>
      <x:c r="C2140" s="40"/>
      <x:c r="D2140" s="40"/>
      <x:c r="E2140" s="40"/>
      <x:c r="F2140" s="40"/>
      <x:c r="G2140" s="40"/>
      <x:c r="H2140" s="40"/>
    </x:row>
    <x:row r="2141">
      <x:c r="B2141" s="40"/>
      <x:c r="C2141" s="40"/>
      <x:c r="D2141" s="40"/>
      <x:c r="E2141" s="40"/>
      <x:c r="F2141" s="40"/>
      <x:c r="G2141" s="40"/>
      <x:c r="H2141" s="40"/>
    </x:row>
    <x:row r="2142">
      <x:c r="B2142" s="40"/>
      <x:c r="C2142" s="40"/>
      <x:c r="D2142" s="40"/>
      <x:c r="E2142" s="40"/>
      <x:c r="F2142" s="40"/>
      <x:c r="G2142" s="40"/>
      <x:c r="H2142" s="40"/>
    </x:row>
    <x:row r="2143">
      <x:c r="B2143" s="40"/>
      <x:c r="C2143" s="40"/>
      <x:c r="D2143" s="40"/>
      <x:c r="E2143" s="40"/>
      <x:c r="F2143" s="40"/>
      <x:c r="G2143" s="40"/>
      <x:c r="H2143" s="40"/>
    </x:row>
    <x:row r="2144">
      <x:c r="B2144" s="40"/>
      <x:c r="C2144" s="40"/>
      <x:c r="D2144" s="40"/>
      <x:c r="E2144" s="40"/>
      <x:c r="F2144" s="40"/>
      <x:c r="G2144" s="40"/>
      <x:c r="H2144" s="40"/>
    </x:row>
    <x:row r="2145">
      <x:c r="B2145" s="40"/>
      <x:c r="C2145" s="40"/>
      <x:c r="D2145" s="40"/>
      <x:c r="E2145" s="40"/>
      <x:c r="F2145" s="40"/>
      <x:c r="G2145" s="40"/>
      <x:c r="H2145" s="40"/>
    </x:row>
    <x:row r="2146">
      <x:c r="B2146" s="40"/>
      <x:c r="C2146" s="40"/>
      <x:c r="D2146" s="40"/>
      <x:c r="E2146" s="40"/>
      <x:c r="F2146" s="40"/>
      <x:c r="G2146" s="40"/>
      <x:c r="H2146" s="40"/>
    </x:row>
    <x:row r="2147">
      <x:c r="B2147" s="40"/>
      <x:c r="C2147" s="40"/>
      <x:c r="D2147" s="40"/>
      <x:c r="E2147" s="40"/>
      <x:c r="F2147" s="40"/>
      <x:c r="G2147" s="40"/>
      <x:c r="H2147" s="40"/>
    </x:row>
    <x:row r="2148">
      <x:c r="B2148" s="40"/>
      <x:c r="C2148" s="40"/>
      <x:c r="D2148" s="40"/>
      <x:c r="E2148" s="40"/>
      <x:c r="F2148" s="40"/>
      <x:c r="G2148" s="40"/>
      <x:c r="H2148" s="40"/>
    </x:row>
    <x:row r="2149">
      <x:c r="B2149" s="40"/>
      <x:c r="C2149" s="40"/>
      <x:c r="D2149" s="40"/>
      <x:c r="E2149" s="40"/>
      <x:c r="F2149" s="40"/>
      <x:c r="G2149" s="40"/>
      <x:c r="H2149" s="40"/>
    </x:row>
    <x:row r="2150">
      <x:c r="B2150" s="40"/>
      <x:c r="C2150" s="40"/>
      <x:c r="D2150" s="40"/>
      <x:c r="E2150" s="40"/>
      <x:c r="F2150" s="40"/>
      <x:c r="G2150" s="40"/>
      <x:c r="H2150" s="40"/>
    </x:row>
    <x:row r="2151">
      <x:c r="B2151" s="40"/>
      <x:c r="C2151" s="40"/>
      <x:c r="D2151" s="40"/>
      <x:c r="E2151" s="40"/>
      <x:c r="F2151" s="40"/>
      <x:c r="G2151" s="40"/>
      <x:c r="H2151" s="40"/>
    </x:row>
    <x:row r="2152">
      <x:c r="B2152" s="40"/>
      <x:c r="C2152" s="40"/>
      <x:c r="D2152" s="40"/>
      <x:c r="E2152" s="40"/>
      <x:c r="F2152" s="40"/>
      <x:c r="G2152" s="40"/>
      <x:c r="H2152" s="40"/>
    </x:row>
    <x:row r="2153">
      <x:c r="B2153" s="40"/>
      <x:c r="C2153" s="40"/>
      <x:c r="D2153" s="40"/>
      <x:c r="E2153" s="40"/>
      <x:c r="F2153" s="40"/>
      <x:c r="G2153" s="40"/>
      <x:c r="H2153" s="40"/>
    </x:row>
    <x:row r="2154">
      <x:c r="B2154" s="40"/>
      <x:c r="C2154" s="40"/>
      <x:c r="D2154" s="40"/>
      <x:c r="E2154" s="40"/>
      <x:c r="F2154" s="40"/>
      <x:c r="G2154" s="40"/>
      <x:c r="H2154" s="40"/>
    </x:row>
    <x:row r="2155">
      <x:c r="B2155" s="40"/>
      <x:c r="C2155" s="40"/>
      <x:c r="D2155" s="40"/>
      <x:c r="E2155" s="40"/>
      <x:c r="F2155" s="40"/>
      <x:c r="G2155" s="40"/>
      <x:c r="H2155" s="40"/>
    </x:row>
    <x:row r="2156">
      <x:c r="B2156" s="40"/>
      <x:c r="C2156" s="40"/>
      <x:c r="D2156" s="40"/>
      <x:c r="E2156" s="40"/>
      <x:c r="F2156" s="40"/>
      <x:c r="G2156" s="40"/>
      <x:c r="H2156" s="40"/>
    </x:row>
    <x:row r="2157">
      <x:c r="B2157" s="40"/>
      <x:c r="C2157" s="40"/>
      <x:c r="D2157" s="40"/>
      <x:c r="E2157" s="40"/>
      <x:c r="F2157" s="40"/>
      <x:c r="G2157" s="40"/>
      <x:c r="H2157" s="40"/>
    </x:row>
    <x:row r="2158">
      <x:c r="B2158" s="40"/>
      <x:c r="C2158" s="40"/>
      <x:c r="D2158" s="40"/>
      <x:c r="E2158" s="40"/>
      <x:c r="F2158" s="40"/>
      <x:c r="G2158" s="40"/>
      <x:c r="H2158" s="40"/>
    </x:row>
    <x:row r="2159">
      <x:c r="B2159" s="40"/>
      <x:c r="C2159" s="40"/>
      <x:c r="D2159" s="40"/>
      <x:c r="E2159" s="40"/>
      <x:c r="F2159" s="40"/>
      <x:c r="G2159" s="40"/>
      <x:c r="H2159" s="40"/>
    </x:row>
    <x:row r="2160">
      <x:c r="B2160" s="40"/>
      <x:c r="C2160" s="40"/>
      <x:c r="D2160" s="40"/>
      <x:c r="E2160" s="40"/>
      <x:c r="F2160" s="40"/>
      <x:c r="G2160" s="40"/>
      <x:c r="H2160" s="40"/>
    </x:row>
    <x:row r="2161">
      <x:c r="B2161" s="40"/>
      <x:c r="C2161" s="40"/>
      <x:c r="D2161" s="40"/>
      <x:c r="E2161" s="40"/>
      <x:c r="F2161" s="40"/>
      <x:c r="G2161" s="40"/>
      <x:c r="H2161" s="40"/>
    </x:row>
    <x:row r="2162">
      <x:c r="B2162" s="40"/>
      <x:c r="C2162" s="40"/>
      <x:c r="D2162" s="40"/>
      <x:c r="E2162" s="40"/>
      <x:c r="F2162" s="40"/>
      <x:c r="G2162" s="40"/>
      <x:c r="H2162" s="40"/>
    </x:row>
    <x:row r="2163">
      <x:c r="B2163" s="40"/>
      <x:c r="C2163" s="40"/>
      <x:c r="D2163" s="40"/>
      <x:c r="E2163" s="40"/>
      <x:c r="F2163" s="40"/>
      <x:c r="G2163" s="40"/>
      <x:c r="H2163" s="40"/>
    </x:row>
    <x:row r="2164">
      <x:c r="B2164" s="40"/>
      <x:c r="C2164" s="40"/>
      <x:c r="D2164" s="40"/>
      <x:c r="E2164" s="40"/>
      <x:c r="F2164" s="40"/>
      <x:c r="G2164" s="40"/>
      <x:c r="H2164" s="40"/>
    </x:row>
    <x:row r="2165">
      <x:c r="B2165" s="40"/>
      <x:c r="C2165" s="40"/>
      <x:c r="D2165" s="40"/>
      <x:c r="E2165" s="40"/>
      <x:c r="F2165" s="40"/>
      <x:c r="G2165" s="40"/>
      <x:c r="H2165" s="40"/>
    </x:row>
    <x:row r="2166">
      <x:c r="B2166" s="40"/>
      <x:c r="C2166" s="40"/>
      <x:c r="D2166" s="40"/>
      <x:c r="E2166" s="40"/>
      <x:c r="F2166" s="40"/>
      <x:c r="G2166" s="40"/>
      <x:c r="H2166" s="40"/>
    </x:row>
    <x:row r="2167">
      <x:c r="B2167" s="40"/>
      <x:c r="C2167" s="40"/>
      <x:c r="D2167" s="40"/>
      <x:c r="E2167" s="40"/>
      <x:c r="F2167" s="40"/>
      <x:c r="G2167" s="40"/>
      <x:c r="H2167" s="40"/>
    </x:row>
    <x:row r="2168">
      <x:c r="B2168" s="40"/>
      <x:c r="C2168" s="40"/>
      <x:c r="D2168" s="40"/>
      <x:c r="E2168" s="40"/>
      <x:c r="F2168" s="40"/>
      <x:c r="G2168" s="40"/>
      <x:c r="H2168" s="40"/>
    </x:row>
    <x:row r="2169">
      <x:c r="B2169" s="40"/>
      <x:c r="C2169" s="40"/>
      <x:c r="D2169" s="40"/>
      <x:c r="E2169" s="40"/>
      <x:c r="F2169" s="40"/>
      <x:c r="G2169" s="40"/>
      <x:c r="H2169" s="40"/>
    </x:row>
    <x:row r="2170">
      <x:c r="B2170" s="40"/>
      <x:c r="C2170" s="40"/>
      <x:c r="D2170" s="40"/>
      <x:c r="E2170" s="40"/>
      <x:c r="F2170" s="40"/>
      <x:c r="G2170" s="40"/>
      <x:c r="H2170" s="40"/>
    </x:row>
    <x:row r="2171">
      <x:c r="B2171" s="40"/>
      <x:c r="C2171" s="40"/>
      <x:c r="D2171" s="40"/>
      <x:c r="E2171" s="40"/>
      <x:c r="F2171" s="40"/>
      <x:c r="G2171" s="40"/>
      <x:c r="H2171" s="40"/>
    </x:row>
    <x:row r="2172">
      <x:c r="B2172" s="40"/>
      <x:c r="C2172" s="40"/>
      <x:c r="D2172" s="40"/>
      <x:c r="E2172" s="40"/>
      <x:c r="F2172" s="40"/>
      <x:c r="G2172" s="40"/>
      <x:c r="H2172" s="40"/>
    </x:row>
    <x:row r="2173">
      <x:c r="B2173" s="40"/>
      <x:c r="C2173" s="40"/>
      <x:c r="D2173" s="40"/>
      <x:c r="E2173" s="40"/>
      <x:c r="F2173" s="40"/>
      <x:c r="G2173" s="40"/>
      <x:c r="H2173" s="40"/>
    </x:row>
    <x:row r="2174">
      <x:c r="B2174" s="40"/>
      <x:c r="C2174" s="40"/>
      <x:c r="D2174" s="40"/>
      <x:c r="E2174" s="40"/>
      <x:c r="F2174" s="40"/>
      <x:c r="G2174" s="40"/>
      <x:c r="H2174" s="40"/>
    </x:row>
    <x:row r="2175">
      <x:c r="B2175" s="40"/>
      <x:c r="C2175" s="40"/>
      <x:c r="D2175" s="40"/>
      <x:c r="E2175" s="40"/>
      <x:c r="F2175" s="40"/>
      <x:c r="G2175" s="40"/>
      <x:c r="H2175" s="40"/>
    </x:row>
    <x:row r="2176">
      <x:c r="B2176" s="40"/>
      <x:c r="C2176" s="40"/>
      <x:c r="D2176" s="40"/>
      <x:c r="E2176" s="40"/>
      <x:c r="F2176" s="40"/>
      <x:c r="G2176" s="40"/>
      <x:c r="H2176" s="40"/>
    </x:row>
    <x:row r="2177">
      <x:c r="B2177" s="40"/>
      <x:c r="C2177" s="40"/>
      <x:c r="D2177" s="40"/>
      <x:c r="E2177" s="40"/>
      <x:c r="F2177" s="40"/>
      <x:c r="G2177" s="40"/>
      <x:c r="H2177" s="40"/>
    </x:row>
    <x:row r="2178">
      <x:c r="B2178" s="40"/>
      <x:c r="C2178" s="40"/>
      <x:c r="D2178" s="40"/>
      <x:c r="E2178" s="40"/>
      <x:c r="F2178" s="40"/>
      <x:c r="G2178" s="40"/>
      <x:c r="H2178" s="40"/>
    </x:row>
    <x:row r="2179">
      <x:c r="B2179" s="40"/>
      <x:c r="C2179" s="40"/>
      <x:c r="D2179" s="40"/>
      <x:c r="E2179" s="40"/>
      <x:c r="F2179" s="40"/>
      <x:c r="G2179" s="40"/>
      <x:c r="H2179" s="40"/>
    </x:row>
    <x:row r="2180">
      <x:c r="B2180" s="40"/>
      <x:c r="C2180" s="40"/>
      <x:c r="D2180" s="40"/>
      <x:c r="E2180" s="40"/>
      <x:c r="F2180" s="40"/>
      <x:c r="G2180" s="40"/>
      <x:c r="H2180" s="40"/>
    </x:row>
    <x:row r="2181">
      <x:c r="B2181" s="40"/>
      <x:c r="C2181" s="40"/>
      <x:c r="D2181" s="40"/>
      <x:c r="E2181" s="40"/>
      <x:c r="F2181" s="40"/>
      <x:c r="G2181" s="40"/>
      <x:c r="H2181" s="40"/>
    </x:row>
    <x:row r="2182">
      <x:c r="B2182" s="40"/>
      <x:c r="C2182" s="40"/>
      <x:c r="D2182" s="40"/>
      <x:c r="E2182" s="40"/>
      <x:c r="F2182" s="40"/>
      <x:c r="G2182" s="40"/>
      <x:c r="H2182" s="40"/>
    </x:row>
    <x:row r="2183">
      <x:c r="B2183" s="40"/>
      <x:c r="C2183" s="40"/>
      <x:c r="D2183" s="40"/>
      <x:c r="E2183" s="40"/>
      <x:c r="F2183" s="40"/>
      <x:c r="G2183" s="40"/>
      <x:c r="H2183" s="40"/>
    </x:row>
    <x:row r="2184">
      <x:c r="B2184" s="40"/>
      <x:c r="C2184" s="40"/>
      <x:c r="D2184" s="40"/>
      <x:c r="E2184" s="40"/>
      <x:c r="F2184" s="40"/>
      <x:c r="G2184" s="40"/>
      <x:c r="H2184" s="40"/>
    </x:row>
    <x:row r="2185">
      <x:c r="B2185" s="40"/>
      <x:c r="C2185" s="40"/>
      <x:c r="D2185" s="40"/>
      <x:c r="E2185" s="40"/>
      <x:c r="F2185" s="40"/>
      <x:c r="G2185" s="40"/>
      <x:c r="H2185" s="40"/>
    </x:row>
    <x:row r="2186">
      <x:c r="B2186" s="40"/>
      <x:c r="C2186" s="40"/>
      <x:c r="D2186" s="40"/>
      <x:c r="E2186" s="40"/>
      <x:c r="F2186" s="40"/>
      <x:c r="G2186" s="40"/>
      <x:c r="H2186" s="40"/>
    </x:row>
    <x:row r="2187">
      <x:c r="B2187" s="40"/>
      <x:c r="C2187" s="40"/>
      <x:c r="D2187" s="40"/>
      <x:c r="E2187" s="40"/>
      <x:c r="F2187" s="40"/>
      <x:c r="G2187" s="40"/>
      <x:c r="H2187" s="40"/>
    </x:row>
    <x:row r="2188">
      <x:c r="B2188" s="40"/>
      <x:c r="C2188" s="40"/>
      <x:c r="D2188" s="40"/>
      <x:c r="E2188" s="40"/>
      <x:c r="F2188" s="40"/>
      <x:c r="G2188" s="40"/>
      <x:c r="H2188" s="40"/>
    </x:row>
    <x:row r="2189">
      <x:c r="B2189" s="40"/>
      <x:c r="C2189" s="40"/>
      <x:c r="D2189" s="40"/>
      <x:c r="E2189" s="40"/>
      <x:c r="F2189" s="40"/>
      <x:c r="G2189" s="40"/>
      <x:c r="H2189" s="40"/>
    </x:row>
    <x:row r="2190">
      <x:c r="B2190" s="40"/>
      <x:c r="C2190" s="40"/>
      <x:c r="D2190" s="40"/>
      <x:c r="E2190" s="40"/>
      <x:c r="F2190" s="40"/>
      <x:c r="G2190" s="40"/>
      <x:c r="H2190" s="40"/>
    </x:row>
    <x:row r="2191">
      <x:c r="B2191" s="40"/>
      <x:c r="C2191" s="40"/>
      <x:c r="D2191" s="40"/>
      <x:c r="E2191" s="40"/>
      <x:c r="F2191" s="40"/>
      <x:c r="G2191" s="40"/>
      <x:c r="H2191" s="40"/>
    </x:row>
    <x:row r="2192">
      <x:c r="B2192" s="40"/>
      <x:c r="C2192" s="40"/>
      <x:c r="D2192" s="40"/>
      <x:c r="E2192" s="40"/>
      <x:c r="F2192" s="40"/>
      <x:c r="G2192" s="40"/>
      <x:c r="H2192" s="40"/>
    </x:row>
    <x:row r="2193">
      <x:c r="B2193" s="40"/>
      <x:c r="C2193" s="40"/>
      <x:c r="D2193" s="40"/>
      <x:c r="E2193" s="40"/>
      <x:c r="F2193" s="40"/>
      <x:c r="G2193" s="40"/>
      <x:c r="H2193" s="40"/>
    </x:row>
    <x:row r="2194">
      <x:c r="B2194" s="40"/>
      <x:c r="C2194" s="40"/>
      <x:c r="D2194" s="40"/>
      <x:c r="E2194" s="40"/>
      <x:c r="F2194" s="40"/>
      <x:c r="G2194" s="40"/>
      <x:c r="H2194" s="40"/>
    </x:row>
    <x:row r="2195">
      <x:c r="B2195" s="40"/>
      <x:c r="C2195" s="40"/>
      <x:c r="D2195" s="40"/>
      <x:c r="E2195" s="40"/>
      <x:c r="F2195" s="40"/>
      <x:c r="G2195" s="40"/>
      <x:c r="H2195" s="40"/>
    </x:row>
    <x:row r="2196">
      <x:c r="B2196" s="40"/>
      <x:c r="C2196" s="40"/>
      <x:c r="D2196" s="40"/>
      <x:c r="E2196" s="40"/>
      <x:c r="F2196" s="40"/>
      <x:c r="G2196" s="40"/>
      <x:c r="H2196" s="40"/>
    </x:row>
    <x:row r="2197">
      <x:c r="B2197" s="40"/>
      <x:c r="C2197" s="40"/>
      <x:c r="D2197" s="40"/>
      <x:c r="E2197" s="40"/>
      <x:c r="F2197" s="40"/>
      <x:c r="G2197" s="40"/>
      <x:c r="H2197" s="40"/>
    </x:row>
    <x:row r="2198">
      <x:c r="B2198" s="40"/>
      <x:c r="C2198" s="40"/>
      <x:c r="D2198" s="40"/>
      <x:c r="E2198" s="40"/>
      <x:c r="F2198" s="40"/>
      <x:c r="G2198" s="40"/>
      <x:c r="H2198" s="40"/>
    </x:row>
    <x:row r="2199">
      <x:c r="B2199" s="40"/>
      <x:c r="C2199" s="40"/>
      <x:c r="D2199" s="40"/>
      <x:c r="E2199" s="40"/>
      <x:c r="F2199" s="40"/>
      <x:c r="G2199" s="40"/>
      <x:c r="H2199" s="40"/>
    </x:row>
    <x:row r="2200">
      <x:c r="B2200" s="40"/>
      <x:c r="C2200" s="40"/>
      <x:c r="D2200" s="40"/>
      <x:c r="E2200" s="40"/>
      <x:c r="F2200" s="40"/>
      <x:c r="G2200" s="40"/>
      <x:c r="H2200" s="40"/>
    </x:row>
    <x:row r="2201">
      <x:c r="B2201" s="40"/>
      <x:c r="C2201" s="40"/>
      <x:c r="D2201" s="40"/>
      <x:c r="E2201" s="40"/>
      <x:c r="F2201" s="40"/>
      <x:c r="G2201" s="40"/>
      <x:c r="H2201" s="40"/>
    </x:row>
    <x:row r="2202">
      <x:c r="B2202" s="40"/>
      <x:c r="C2202" s="40"/>
      <x:c r="D2202" s="40"/>
      <x:c r="E2202" s="40"/>
      <x:c r="F2202" s="40"/>
      <x:c r="G2202" s="40"/>
      <x:c r="H2202" s="40"/>
    </x:row>
    <x:row r="2203">
      <x:c r="B2203" s="40"/>
      <x:c r="C2203" s="40"/>
      <x:c r="D2203" s="40"/>
      <x:c r="E2203" s="40"/>
      <x:c r="F2203" s="40"/>
      <x:c r="G2203" s="40"/>
      <x:c r="H2203" s="40"/>
    </x:row>
    <x:row r="2204">
      <x:c r="B2204" s="40"/>
      <x:c r="C2204" s="40"/>
      <x:c r="D2204" s="40"/>
      <x:c r="E2204" s="40"/>
      <x:c r="F2204" s="40"/>
      <x:c r="G2204" s="40"/>
      <x:c r="H2204" s="40"/>
    </x:row>
    <x:row r="2205">
      <x:c r="B2205" s="40"/>
      <x:c r="C2205" s="40"/>
      <x:c r="D2205" s="40"/>
      <x:c r="E2205" s="40"/>
      <x:c r="F2205" s="40"/>
      <x:c r="G2205" s="40"/>
      <x:c r="H2205" s="40"/>
    </x:row>
    <x:row r="2206">
      <x:c r="B2206" s="40"/>
      <x:c r="C2206" s="40"/>
      <x:c r="D2206" s="40"/>
      <x:c r="E2206" s="40"/>
      <x:c r="F2206" s="40"/>
      <x:c r="G2206" s="40"/>
      <x:c r="H2206" s="40"/>
    </x:row>
    <x:row r="2207">
      <x:c r="B2207" s="40"/>
      <x:c r="C2207" s="40"/>
      <x:c r="D2207" s="40"/>
      <x:c r="E2207" s="40"/>
      <x:c r="F2207" s="40"/>
      <x:c r="G2207" s="40"/>
      <x:c r="H2207" s="40"/>
    </x:row>
    <x:row r="2208">
      <x:c r="B2208" s="40"/>
      <x:c r="C2208" s="40"/>
      <x:c r="D2208" s="40"/>
      <x:c r="E2208" s="40"/>
      <x:c r="F2208" s="40"/>
      <x:c r="G2208" s="40"/>
      <x:c r="H2208" s="40"/>
    </x:row>
    <x:row r="2209">
      <x:c r="B2209" s="40"/>
      <x:c r="C2209" s="40"/>
      <x:c r="D2209" s="40"/>
      <x:c r="E2209" s="40"/>
      <x:c r="F2209" s="40"/>
      <x:c r="G2209" s="40"/>
      <x:c r="H2209" s="40"/>
    </x:row>
    <x:row r="2210">
      <x:c r="B2210" s="40"/>
      <x:c r="C2210" s="40"/>
      <x:c r="D2210" s="40"/>
      <x:c r="E2210" s="40"/>
      <x:c r="F2210" s="40"/>
      <x:c r="G2210" s="40"/>
      <x:c r="H2210" s="40"/>
    </x:row>
    <x:row r="2211">
      <x:c r="B2211" s="40"/>
      <x:c r="C2211" s="40"/>
      <x:c r="D2211" s="40"/>
      <x:c r="E2211" s="40"/>
      <x:c r="F2211" s="40"/>
      <x:c r="G2211" s="40"/>
      <x:c r="H2211" s="40"/>
    </x:row>
    <x:row r="2212">
      <x:c r="B2212" s="40"/>
      <x:c r="C2212" s="40"/>
      <x:c r="D2212" s="40"/>
      <x:c r="E2212" s="40"/>
      <x:c r="F2212" s="40"/>
      <x:c r="G2212" s="40"/>
      <x:c r="H2212" s="40"/>
    </x:row>
    <x:row r="2213">
      <x:c r="B2213" s="40"/>
      <x:c r="C2213" s="40"/>
      <x:c r="D2213" s="40"/>
      <x:c r="E2213" s="40"/>
      <x:c r="F2213" s="40"/>
      <x:c r="G2213" s="40"/>
      <x:c r="H2213" s="40"/>
    </x:row>
    <x:row r="2214">
      <x:c r="B2214" s="40"/>
      <x:c r="C2214" s="40"/>
      <x:c r="D2214" s="40"/>
      <x:c r="E2214" s="40"/>
      <x:c r="F2214" s="40"/>
      <x:c r="G2214" s="40"/>
      <x:c r="H2214" s="40"/>
    </x:row>
    <x:row r="2215">
      <x:c r="B2215" s="40"/>
      <x:c r="C2215" s="40"/>
      <x:c r="D2215" s="40"/>
      <x:c r="E2215" s="40"/>
      <x:c r="F2215" s="40"/>
      <x:c r="G2215" s="40"/>
      <x:c r="H2215" s="40"/>
    </x:row>
    <x:row r="2216">
      <x:c r="B2216" s="40"/>
      <x:c r="C2216" s="40"/>
      <x:c r="D2216" s="40"/>
      <x:c r="E2216" s="40"/>
      <x:c r="F2216" s="40"/>
      <x:c r="G2216" s="40"/>
      <x:c r="H2216" s="40"/>
    </x:row>
    <x:row r="2217">
      <x:c r="B2217" s="40"/>
      <x:c r="C2217" s="40"/>
      <x:c r="D2217" s="40"/>
      <x:c r="E2217" s="40"/>
      <x:c r="F2217" s="40"/>
      <x:c r="G2217" s="40"/>
      <x:c r="H2217" s="40"/>
    </x:row>
    <x:row r="2218">
      <x:c r="B2218" s="40"/>
      <x:c r="C2218" s="40"/>
      <x:c r="D2218" s="40"/>
      <x:c r="E2218" s="40"/>
      <x:c r="F2218" s="40"/>
      <x:c r="G2218" s="40"/>
      <x:c r="H2218" s="40"/>
    </x:row>
    <x:row r="2219">
      <x:c r="B2219" s="40"/>
      <x:c r="C2219" s="40"/>
      <x:c r="D2219" s="40"/>
      <x:c r="E2219" s="40"/>
      <x:c r="F2219" s="40"/>
      <x:c r="G2219" s="40"/>
      <x:c r="H2219" s="40"/>
    </x:row>
    <x:row r="2220">
      <x:c r="B2220" s="40"/>
      <x:c r="C2220" s="40"/>
      <x:c r="D2220" s="40"/>
      <x:c r="E2220" s="40"/>
      <x:c r="F2220" s="40"/>
      <x:c r="G2220" s="40"/>
      <x:c r="H2220" s="40"/>
    </x:row>
    <x:row r="2221">
      <x:c r="B2221" s="40"/>
      <x:c r="C2221" s="40"/>
      <x:c r="D2221" s="40"/>
      <x:c r="E2221" s="40"/>
      <x:c r="F2221" s="40"/>
      <x:c r="G2221" s="40"/>
      <x:c r="H2221" s="40"/>
    </x:row>
    <x:row r="2222">
      <x:c r="B2222" s="40"/>
      <x:c r="C2222" s="40"/>
      <x:c r="D2222" s="40"/>
      <x:c r="E2222" s="40"/>
      <x:c r="F2222" s="40"/>
      <x:c r="G2222" s="40"/>
      <x:c r="H2222" s="40"/>
    </x:row>
    <x:row r="2223">
      <x:c r="B2223" s="40"/>
      <x:c r="C2223" s="40"/>
      <x:c r="D2223" s="40"/>
      <x:c r="E2223" s="40"/>
      <x:c r="F2223" s="40"/>
      <x:c r="G2223" s="40"/>
      <x:c r="H2223" s="40"/>
    </x:row>
    <x:row r="2224">
      <x:c r="B2224" s="40"/>
      <x:c r="C2224" s="40"/>
      <x:c r="D2224" s="40"/>
      <x:c r="E2224" s="40"/>
      <x:c r="F2224" s="40"/>
      <x:c r="G2224" s="40"/>
      <x:c r="H2224" s="40"/>
    </x:row>
    <x:row r="2225">
      <x:c r="B2225" s="40"/>
      <x:c r="C2225" s="40"/>
      <x:c r="D2225" s="40"/>
      <x:c r="E2225" s="40"/>
      <x:c r="F2225" s="40"/>
      <x:c r="G2225" s="40"/>
      <x:c r="H2225" s="40"/>
    </x:row>
    <x:row r="2226">
      <x:c r="B2226" s="40"/>
      <x:c r="C2226" s="40"/>
      <x:c r="D2226" s="40"/>
      <x:c r="E2226" s="40"/>
      <x:c r="F2226" s="40"/>
      <x:c r="G2226" s="40"/>
      <x:c r="H2226" s="40"/>
    </x:row>
    <x:row r="2227">
      <x:c r="B2227" s="40"/>
      <x:c r="C2227" s="40"/>
      <x:c r="D2227" s="40"/>
      <x:c r="E2227" s="40"/>
      <x:c r="F2227" s="40"/>
      <x:c r="G2227" s="40"/>
      <x:c r="H2227" s="40"/>
    </x:row>
    <x:row r="2228">
      <x:c r="B2228" s="40"/>
      <x:c r="C2228" s="40"/>
      <x:c r="D2228" s="40"/>
      <x:c r="E2228" s="40"/>
      <x:c r="F2228" s="40"/>
      <x:c r="G2228" s="40"/>
      <x:c r="H2228" s="40"/>
    </x:row>
    <x:row r="2229">
      <x:c r="B2229" s="40"/>
      <x:c r="C2229" s="40"/>
      <x:c r="D2229" s="40"/>
      <x:c r="E2229" s="40"/>
      <x:c r="F2229" s="40"/>
      <x:c r="G2229" s="40"/>
      <x:c r="H2229" s="40"/>
    </x:row>
    <x:row r="2230">
      <x:c r="B2230" s="40"/>
      <x:c r="C2230" s="40"/>
      <x:c r="D2230" s="40"/>
      <x:c r="E2230" s="40"/>
      <x:c r="F2230" s="40"/>
      <x:c r="G2230" s="40"/>
      <x:c r="H2230" s="40"/>
    </x:row>
    <x:row r="2231">
      <x:c r="B2231" s="40"/>
      <x:c r="C2231" s="40"/>
      <x:c r="D2231" s="40"/>
      <x:c r="E2231" s="40"/>
      <x:c r="F2231" s="40"/>
      <x:c r="G2231" s="40"/>
      <x:c r="H2231" s="40"/>
    </x:row>
    <x:row r="2232">
      <x:c r="B2232" s="40"/>
      <x:c r="C2232" s="40"/>
      <x:c r="D2232" s="40"/>
      <x:c r="E2232" s="40"/>
      <x:c r="F2232" s="40"/>
      <x:c r="G2232" s="40"/>
      <x:c r="H2232" s="40"/>
    </x:row>
    <x:row r="2233">
      <x:c r="B2233" s="40"/>
      <x:c r="C2233" s="40"/>
      <x:c r="D2233" s="40"/>
      <x:c r="E2233" s="40"/>
      <x:c r="F2233" s="40"/>
      <x:c r="G2233" s="40"/>
      <x:c r="H2233" s="40"/>
    </x:row>
    <x:row r="2234">
      <x:c r="B2234" s="40"/>
      <x:c r="C2234" s="40"/>
      <x:c r="D2234" s="40"/>
      <x:c r="E2234" s="40"/>
      <x:c r="F2234" s="40"/>
      <x:c r="G2234" s="40"/>
      <x:c r="H2234" s="40"/>
    </x:row>
    <x:row r="2235">
      <x:c r="B2235" s="40"/>
      <x:c r="C2235" s="40"/>
      <x:c r="D2235" s="40"/>
      <x:c r="E2235" s="40"/>
      <x:c r="F2235" s="40"/>
      <x:c r="G2235" s="40"/>
      <x:c r="H2235" s="40"/>
    </x:row>
    <x:row r="2236">
      <x:c r="B2236" s="40"/>
      <x:c r="C2236" s="40"/>
      <x:c r="D2236" s="40"/>
      <x:c r="E2236" s="40"/>
      <x:c r="F2236" s="40"/>
      <x:c r="G2236" s="40"/>
      <x:c r="H2236" s="40"/>
    </x:row>
    <x:row r="2237">
      <x:c r="B2237" s="40"/>
      <x:c r="C2237" s="40"/>
      <x:c r="D2237" s="40"/>
      <x:c r="E2237" s="40"/>
      <x:c r="F2237" s="40"/>
      <x:c r="G2237" s="40"/>
      <x:c r="H2237" s="40"/>
    </x:row>
    <x:row r="2238">
      <x:c r="B2238" s="40"/>
      <x:c r="C2238" s="40"/>
      <x:c r="D2238" s="40"/>
      <x:c r="E2238" s="40"/>
      <x:c r="F2238" s="40"/>
      <x:c r="G2238" s="40"/>
      <x:c r="H2238" s="40"/>
    </x:row>
    <x:row r="2239">
      <x:c r="B2239" s="40"/>
      <x:c r="C2239" s="40"/>
      <x:c r="D2239" s="40"/>
      <x:c r="E2239" s="40"/>
      <x:c r="F2239" s="40"/>
      <x:c r="G2239" s="40"/>
      <x:c r="H2239" s="40"/>
    </x:row>
    <x:row r="2240">
      <x:c r="B2240" s="40"/>
      <x:c r="C2240" s="40"/>
      <x:c r="D2240" s="40"/>
      <x:c r="E2240" s="40"/>
      <x:c r="F2240" s="40"/>
      <x:c r="G2240" s="40"/>
      <x:c r="H2240" s="40"/>
    </x:row>
    <x:row r="2241">
      <x:c r="B2241" s="40"/>
      <x:c r="C2241" s="40"/>
      <x:c r="D2241" s="40"/>
      <x:c r="E2241" s="40"/>
      <x:c r="F2241" s="40"/>
      <x:c r="G2241" s="40"/>
      <x:c r="H2241" s="40"/>
    </x:row>
    <x:row r="2242">
      <x:c r="B2242" s="40"/>
      <x:c r="C2242" s="40"/>
      <x:c r="D2242" s="40"/>
      <x:c r="E2242" s="40"/>
      <x:c r="F2242" s="40"/>
      <x:c r="G2242" s="40"/>
      <x:c r="H2242" s="40"/>
    </x:row>
    <x:row r="2243">
      <x:c r="B2243" s="40"/>
      <x:c r="C2243" s="40"/>
      <x:c r="D2243" s="40"/>
      <x:c r="E2243" s="40"/>
      <x:c r="F2243" s="40"/>
      <x:c r="G2243" s="40"/>
      <x:c r="H2243" s="40"/>
    </x:row>
    <x:row r="2244">
      <x:c r="B2244" s="40"/>
      <x:c r="C2244" s="40"/>
      <x:c r="D2244" s="40"/>
      <x:c r="E2244" s="40"/>
      <x:c r="F2244" s="40"/>
      <x:c r="G2244" s="40"/>
      <x:c r="H2244" s="40"/>
    </x:row>
    <x:row r="2245">
      <x:c r="B2245" s="40"/>
      <x:c r="C2245" s="40"/>
      <x:c r="D2245" s="40"/>
      <x:c r="E2245" s="40"/>
      <x:c r="F2245" s="40"/>
      <x:c r="G2245" s="40"/>
      <x:c r="H2245" s="40"/>
    </x:row>
    <x:row r="2246">
      <x:c r="B2246" s="40"/>
      <x:c r="C2246" s="40"/>
      <x:c r="D2246" s="40"/>
      <x:c r="E2246" s="40"/>
      <x:c r="F2246" s="40"/>
      <x:c r="G2246" s="40"/>
      <x:c r="H2246" s="40"/>
    </x:row>
    <x:row r="2247">
      <x:c r="B2247" s="40"/>
      <x:c r="C2247" s="40"/>
      <x:c r="D2247" s="40"/>
      <x:c r="E2247" s="40"/>
      <x:c r="F2247" s="40"/>
      <x:c r="G2247" s="40"/>
      <x:c r="H2247" s="40"/>
    </x:row>
    <x:row r="2248">
      <x:c r="B2248" s="40"/>
      <x:c r="C2248" s="40"/>
      <x:c r="D2248" s="40"/>
      <x:c r="E2248" s="40"/>
      <x:c r="F2248" s="40"/>
      <x:c r="G2248" s="40"/>
      <x:c r="H2248" s="40"/>
    </x:row>
    <x:row r="2249">
      <x:c r="B2249" s="40"/>
      <x:c r="C2249" s="40"/>
      <x:c r="D2249" s="40"/>
      <x:c r="E2249" s="40"/>
      <x:c r="F2249" s="40"/>
      <x:c r="G2249" s="40"/>
      <x:c r="H2249" s="40"/>
    </x:row>
    <x:row r="2250">
      <x:c r="B2250" s="40"/>
      <x:c r="C2250" s="40"/>
      <x:c r="D2250" s="40"/>
      <x:c r="E2250" s="40"/>
      <x:c r="F2250" s="40"/>
      <x:c r="G2250" s="40"/>
      <x:c r="H2250" s="40"/>
    </x:row>
    <x:row r="2251">
      <x:c r="B2251" s="40"/>
      <x:c r="C2251" s="40"/>
      <x:c r="D2251" s="40"/>
      <x:c r="E2251" s="40"/>
      <x:c r="F2251" s="40"/>
      <x:c r="G2251" s="40"/>
      <x:c r="H2251" s="40"/>
    </x:row>
    <x:row r="2252">
      <x:c r="B2252" s="40"/>
      <x:c r="C2252" s="40"/>
      <x:c r="D2252" s="40"/>
      <x:c r="E2252" s="40"/>
      <x:c r="F2252" s="40"/>
      <x:c r="G2252" s="40"/>
      <x:c r="H2252" s="40"/>
    </x:row>
    <x:row r="2253">
      <x:c r="B2253" s="40"/>
      <x:c r="C2253" s="40"/>
      <x:c r="D2253" s="40"/>
      <x:c r="E2253" s="40"/>
      <x:c r="F2253" s="40"/>
      <x:c r="G2253" s="40"/>
      <x:c r="H2253" s="40"/>
    </x:row>
    <x:row r="2254">
      <x:c r="B2254" s="40"/>
      <x:c r="C2254" s="40"/>
      <x:c r="D2254" s="40"/>
      <x:c r="E2254" s="40"/>
      <x:c r="F2254" s="40"/>
      <x:c r="G2254" s="40"/>
      <x:c r="H2254" s="40"/>
    </x:row>
    <x:row r="2255">
      <x:c r="B2255" s="40"/>
      <x:c r="C2255" s="40"/>
      <x:c r="D2255" s="40"/>
      <x:c r="E2255" s="40"/>
      <x:c r="F2255" s="40"/>
      <x:c r="G2255" s="40"/>
      <x:c r="H2255" s="40"/>
    </x:row>
    <x:row r="2256">
      <x:c r="B2256" s="40"/>
      <x:c r="C2256" s="40"/>
      <x:c r="D2256" s="40"/>
      <x:c r="E2256" s="40"/>
      <x:c r="F2256" s="40"/>
      <x:c r="G2256" s="40"/>
      <x:c r="H2256" s="40"/>
    </x:row>
    <x:row r="2257">
      <x:c r="B2257" s="40"/>
      <x:c r="C2257" s="40"/>
      <x:c r="D2257" s="40"/>
      <x:c r="E2257" s="40"/>
      <x:c r="F2257" s="40"/>
      <x:c r="G2257" s="40"/>
      <x:c r="H2257" s="40"/>
    </x:row>
    <x:row r="2258">
      <x:c r="B2258" s="40"/>
      <x:c r="C2258" s="40"/>
      <x:c r="D2258" s="40"/>
      <x:c r="E2258" s="40"/>
      <x:c r="F2258" s="40"/>
      <x:c r="G2258" s="40"/>
      <x:c r="H2258" s="40"/>
    </x:row>
    <x:row r="2259">
      <x:c r="B2259" s="40"/>
      <x:c r="C2259" s="40"/>
      <x:c r="D2259" s="40"/>
      <x:c r="E2259" s="40"/>
      <x:c r="F2259" s="40"/>
      <x:c r="G2259" s="40"/>
      <x:c r="H2259" s="40"/>
    </x:row>
    <x:row r="2260">
      <x:c r="B2260" s="40"/>
      <x:c r="C2260" s="40"/>
      <x:c r="D2260" s="40"/>
      <x:c r="E2260" s="40"/>
      <x:c r="F2260" s="40"/>
      <x:c r="G2260" s="40"/>
      <x:c r="H2260" s="40"/>
    </x:row>
    <x:row r="2261">
      <x:c r="B2261" s="40"/>
      <x:c r="C2261" s="40"/>
      <x:c r="D2261" s="40"/>
      <x:c r="E2261" s="40"/>
      <x:c r="F2261" s="40"/>
      <x:c r="G2261" s="40"/>
      <x:c r="H2261" s="40"/>
    </x:row>
    <x:row r="2262">
      <x:c r="B2262" s="40"/>
      <x:c r="C2262" s="40"/>
      <x:c r="D2262" s="40"/>
      <x:c r="E2262" s="40"/>
      <x:c r="F2262" s="40"/>
      <x:c r="G2262" s="40"/>
      <x:c r="H2262" s="40"/>
    </x:row>
    <x:row r="2263">
      <x:c r="B2263" s="40"/>
      <x:c r="C2263" s="40"/>
      <x:c r="D2263" s="40"/>
      <x:c r="E2263" s="40"/>
      <x:c r="F2263" s="40"/>
      <x:c r="G2263" s="40"/>
      <x:c r="H2263" s="40"/>
    </x:row>
    <x:row r="2264">
      <x:c r="B2264" s="40"/>
      <x:c r="C2264" s="40"/>
      <x:c r="D2264" s="40"/>
      <x:c r="E2264" s="40"/>
      <x:c r="F2264" s="40"/>
      <x:c r="G2264" s="40"/>
      <x:c r="H2264" s="40"/>
    </x:row>
    <x:row r="2265">
      <x:c r="B2265" s="40"/>
      <x:c r="C2265" s="40"/>
      <x:c r="D2265" s="40"/>
      <x:c r="E2265" s="40"/>
      <x:c r="F2265" s="40"/>
      <x:c r="G2265" s="40"/>
      <x:c r="H2265" s="40"/>
    </x:row>
    <x:row r="2266">
      <x:c r="B2266" s="40"/>
      <x:c r="C2266" s="40"/>
      <x:c r="D2266" s="40"/>
      <x:c r="E2266" s="40"/>
      <x:c r="F2266" s="40"/>
      <x:c r="G2266" s="40"/>
      <x:c r="H2266" s="40"/>
    </x:row>
    <x:row r="2267">
      <x:c r="B2267" s="40"/>
      <x:c r="C2267" s="40"/>
      <x:c r="D2267" s="40"/>
      <x:c r="E2267" s="40"/>
      <x:c r="F2267" s="40"/>
      <x:c r="G2267" s="40"/>
      <x:c r="H2267" s="40"/>
    </x:row>
    <x:row r="2268">
      <x:c r="B2268" s="40"/>
      <x:c r="C2268" s="40"/>
      <x:c r="D2268" s="40"/>
      <x:c r="E2268" s="40"/>
      <x:c r="F2268" s="40"/>
      <x:c r="G2268" s="40"/>
      <x:c r="H2268" s="40"/>
    </x:row>
    <x:row r="2269">
      <x:c r="B2269" s="40"/>
      <x:c r="C2269" s="40"/>
      <x:c r="D2269" s="40"/>
      <x:c r="E2269" s="40"/>
      <x:c r="F2269" s="40"/>
      <x:c r="G2269" s="40"/>
      <x:c r="H2269" s="40"/>
    </x:row>
    <x:row r="2270">
      <x:c r="B2270" s="40"/>
      <x:c r="C2270" s="40"/>
      <x:c r="D2270" s="40"/>
      <x:c r="E2270" s="40"/>
      <x:c r="F2270" s="40"/>
      <x:c r="G2270" s="40"/>
      <x:c r="H2270" s="40"/>
    </x:row>
    <x:row r="2271">
      <x:c r="B2271" s="40"/>
      <x:c r="C2271" s="40"/>
      <x:c r="D2271" s="40"/>
      <x:c r="E2271" s="40"/>
      <x:c r="F2271" s="40"/>
      <x:c r="G2271" s="40"/>
      <x:c r="H2271" s="40"/>
    </x:row>
    <x:row r="2272">
      <x:c r="B2272" s="40"/>
      <x:c r="C2272" s="40"/>
      <x:c r="D2272" s="40"/>
      <x:c r="E2272" s="40"/>
      <x:c r="F2272" s="40"/>
      <x:c r="G2272" s="40"/>
      <x:c r="H2272" s="40"/>
    </x:row>
    <x:row r="2273">
      <x:c r="B2273" s="40"/>
      <x:c r="C2273" s="40"/>
      <x:c r="D2273" s="40"/>
      <x:c r="E2273" s="40"/>
      <x:c r="F2273" s="40"/>
      <x:c r="G2273" s="40"/>
      <x:c r="H2273" s="40"/>
    </x:row>
    <x:row r="2274">
      <x:c r="B2274" s="40"/>
      <x:c r="C2274" s="40"/>
      <x:c r="D2274" s="40"/>
      <x:c r="E2274" s="40"/>
      <x:c r="F2274" s="40"/>
      <x:c r="G2274" s="40"/>
      <x:c r="H2274" s="40"/>
    </x:row>
    <x:row r="2275">
      <x:c r="B2275" s="40"/>
      <x:c r="C2275" s="40"/>
      <x:c r="D2275" s="40"/>
      <x:c r="E2275" s="40"/>
      <x:c r="F2275" s="40"/>
      <x:c r="G2275" s="40"/>
      <x:c r="H2275" s="40"/>
    </x:row>
    <x:row r="2276">
      <x:c r="B2276" s="40"/>
      <x:c r="C2276" s="40"/>
      <x:c r="D2276" s="40"/>
      <x:c r="E2276" s="40"/>
      <x:c r="F2276" s="40"/>
      <x:c r="G2276" s="40"/>
      <x:c r="H2276" s="40"/>
    </x:row>
    <x:row r="2277">
      <x:c r="B2277" s="40"/>
      <x:c r="C2277" s="40"/>
      <x:c r="D2277" s="40"/>
      <x:c r="E2277" s="40"/>
      <x:c r="F2277" s="40"/>
      <x:c r="G2277" s="40"/>
      <x:c r="H2277" s="40"/>
    </x:row>
    <x:row r="2278">
      <x:c r="B2278" s="40"/>
      <x:c r="C2278" s="40"/>
      <x:c r="D2278" s="40"/>
      <x:c r="E2278" s="40"/>
      <x:c r="F2278" s="40"/>
      <x:c r="G2278" s="40"/>
      <x:c r="H2278" s="40"/>
    </x:row>
    <x:row r="2279">
      <x:c r="B2279" s="40"/>
      <x:c r="C2279" s="40"/>
      <x:c r="D2279" s="40"/>
      <x:c r="E2279" s="40"/>
      <x:c r="F2279" s="40"/>
      <x:c r="G2279" s="40"/>
      <x:c r="H2279" s="40"/>
    </x:row>
    <x:row r="2280">
      <x:c r="B2280" s="40"/>
      <x:c r="C2280" s="40"/>
      <x:c r="D2280" s="40"/>
      <x:c r="E2280" s="40"/>
      <x:c r="F2280" s="40"/>
      <x:c r="G2280" s="40"/>
      <x:c r="H2280" s="40"/>
    </x:row>
    <x:row r="2281">
      <x:c r="B2281" s="40"/>
      <x:c r="C2281" s="40"/>
      <x:c r="D2281" s="40"/>
      <x:c r="E2281" s="40"/>
      <x:c r="F2281" s="40"/>
      <x:c r="G2281" s="40"/>
      <x:c r="H2281" s="40"/>
    </x:row>
    <x:row r="2282">
      <x:c r="B2282" s="40"/>
      <x:c r="C2282" s="40"/>
      <x:c r="D2282" s="40"/>
      <x:c r="E2282" s="40"/>
      <x:c r="F2282" s="40"/>
      <x:c r="G2282" s="40"/>
      <x:c r="H2282" s="40"/>
    </x:row>
    <x:row r="2283">
      <x:c r="B2283" s="40"/>
      <x:c r="C2283" s="40"/>
      <x:c r="D2283" s="40"/>
      <x:c r="E2283" s="40"/>
      <x:c r="F2283" s="40"/>
      <x:c r="G2283" s="40"/>
      <x:c r="H2283" s="40"/>
    </x:row>
    <x:row r="2284">
      <x:c r="B2284" s="40"/>
      <x:c r="C2284" s="40"/>
      <x:c r="D2284" s="40"/>
      <x:c r="E2284" s="40"/>
      <x:c r="F2284" s="40"/>
      <x:c r="G2284" s="40"/>
      <x:c r="H2284" s="40"/>
    </x:row>
    <x:row r="2285">
      <x:c r="B2285" s="40"/>
      <x:c r="C2285" s="40"/>
      <x:c r="D2285" s="40"/>
      <x:c r="E2285" s="40"/>
      <x:c r="F2285" s="40"/>
      <x:c r="G2285" s="40"/>
      <x:c r="H2285" s="40"/>
    </x:row>
    <x:row r="2286">
      <x:c r="B2286" s="40"/>
      <x:c r="C2286" s="40"/>
      <x:c r="D2286" s="40"/>
      <x:c r="E2286" s="40"/>
      <x:c r="F2286" s="40"/>
      <x:c r="G2286" s="40"/>
      <x:c r="H2286" s="40"/>
    </x:row>
    <x:row r="2287">
      <x:c r="B2287" s="40"/>
      <x:c r="C2287" s="40"/>
      <x:c r="D2287" s="40"/>
      <x:c r="E2287" s="40"/>
      <x:c r="F2287" s="40"/>
      <x:c r="G2287" s="40"/>
      <x:c r="H2287" s="40"/>
    </x:row>
    <x:row r="2288">
      <x:c r="B2288" s="40"/>
      <x:c r="C2288" s="40"/>
      <x:c r="D2288" s="40"/>
      <x:c r="E2288" s="40"/>
      <x:c r="F2288" s="40"/>
      <x:c r="G2288" s="40"/>
      <x:c r="H2288" s="40"/>
    </x:row>
    <x:row r="2289">
      <x:c r="B2289" s="40"/>
      <x:c r="C2289" s="40"/>
      <x:c r="D2289" s="40"/>
      <x:c r="E2289" s="40"/>
      <x:c r="F2289" s="40"/>
      <x:c r="G2289" s="40"/>
      <x:c r="H2289" s="40"/>
    </x:row>
    <x:row r="2290">
      <x:c r="B2290" s="40"/>
      <x:c r="C2290" s="40"/>
      <x:c r="D2290" s="40"/>
      <x:c r="E2290" s="40"/>
      <x:c r="F2290" s="40"/>
      <x:c r="G2290" s="40"/>
      <x:c r="H2290" s="40"/>
    </x:row>
    <x:row r="2291">
      <x:c r="B2291" s="40"/>
      <x:c r="C2291" s="40"/>
      <x:c r="D2291" s="40"/>
      <x:c r="E2291" s="40"/>
      <x:c r="F2291" s="40"/>
      <x:c r="G2291" s="40"/>
      <x:c r="H2291" s="40"/>
    </x:row>
    <x:row r="2292">
      <x:c r="B2292" s="40"/>
      <x:c r="C2292" s="40"/>
      <x:c r="D2292" s="40"/>
      <x:c r="E2292" s="40"/>
      <x:c r="F2292" s="40"/>
      <x:c r="G2292" s="40"/>
      <x:c r="H2292" s="40"/>
    </x:row>
    <x:row r="2293">
      <x:c r="B2293" s="40"/>
      <x:c r="C2293" s="40"/>
      <x:c r="D2293" s="40"/>
      <x:c r="E2293" s="40"/>
      <x:c r="F2293" s="40"/>
      <x:c r="G2293" s="40"/>
      <x:c r="H2293" s="40"/>
    </x:row>
    <x:row r="2294">
      <x:c r="B2294" s="40"/>
      <x:c r="C2294" s="40"/>
      <x:c r="D2294" s="40"/>
      <x:c r="E2294" s="40"/>
      <x:c r="F2294" s="40"/>
      <x:c r="G2294" s="40"/>
      <x:c r="H2294" s="40"/>
    </x:row>
    <x:row r="2295">
      <x:c r="B2295" s="40"/>
      <x:c r="C2295" s="40"/>
      <x:c r="D2295" s="40"/>
      <x:c r="E2295" s="40"/>
      <x:c r="F2295" s="40"/>
      <x:c r="G2295" s="40"/>
      <x:c r="H2295" s="40"/>
    </x:row>
    <x:row r="2296">
      <x:c r="B2296" s="40"/>
      <x:c r="C2296" s="40"/>
      <x:c r="D2296" s="40"/>
      <x:c r="E2296" s="40"/>
      <x:c r="F2296" s="40"/>
      <x:c r="G2296" s="40"/>
      <x:c r="H2296" s="40"/>
    </x:row>
    <x:row r="2297">
      <x:c r="B2297" s="40"/>
      <x:c r="C2297" s="40"/>
      <x:c r="D2297" s="40"/>
      <x:c r="E2297" s="40"/>
      <x:c r="F2297" s="40"/>
      <x:c r="G2297" s="40"/>
      <x:c r="H2297" s="40"/>
    </x:row>
    <x:row r="2298">
      <x:c r="B2298" s="40"/>
      <x:c r="C2298" s="40"/>
      <x:c r="D2298" s="40"/>
      <x:c r="E2298" s="40"/>
      <x:c r="F2298" s="40"/>
      <x:c r="G2298" s="40"/>
      <x:c r="H2298" s="40"/>
    </x:row>
    <x:row r="2299">
      <x:c r="B2299" s="40"/>
      <x:c r="C2299" s="40"/>
      <x:c r="D2299" s="40"/>
      <x:c r="E2299" s="40"/>
      <x:c r="F2299" s="40"/>
      <x:c r="G2299" s="40"/>
      <x:c r="H2299" s="40"/>
    </x:row>
    <x:row r="2300">
      <x:c r="B2300" s="40"/>
      <x:c r="C2300" s="40"/>
      <x:c r="D2300" s="40"/>
      <x:c r="E2300" s="40"/>
      <x:c r="F2300" s="40"/>
      <x:c r="G2300" s="40"/>
      <x:c r="H2300" s="40"/>
    </x:row>
    <x:row r="2301">
      <x:c r="B2301" s="40"/>
      <x:c r="C2301" s="40"/>
      <x:c r="D2301" s="40"/>
      <x:c r="E2301" s="40"/>
      <x:c r="F2301" s="40"/>
      <x:c r="G2301" s="40"/>
      <x:c r="H2301" s="40"/>
    </x:row>
    <x:row r="2302">
      <x:c r="B2302" s="40"/>
      <x:c r="C2302" s="40"/>
      <x:c r="D2302" s="40"/>
      <x:c r="E2302" s="40"/>
      <x:c r="F2302" s="40"/>
      <x:c r="G2302" s="40"/>
      <x:c r="H2302" s="40"/>
    </x:row>
    <x:row r="2303">
      <x:c r="B2303" s="40"/>
      <x:c r="C2303" s="40"/>
      <x:c r="D2303" s="40"/>
      <x:c r="E2303" s="40"/>
      <x:c r="F2303" s="40"/>
      <x:c r="G2303" s="40"/>
      <x:c r="H2303" s="40"/>
    </x:row>
    <x:row r="2304">
      <x:c r="B2304" s="40"/>
      <x:c r="C2304" s="40"/>
      <x:c r="D2304" s="40"/>
      <x:c r="E2304" s="40"/>
      <x:c r="F2304" s="40"/>
      <x:c r="G2304" s="40"/>
      <x:c r="H2304" s="40"/>
    </x:row>
    <x:row r="2305">
      <x:c r="B2305" s="40"/>
      <x:c r="C2305" s="40"/>
      <x:c r="D2305" s="40"/>
      <x:c r="E2305" s="40"/>
      <x:c r="F2305" s="40"/>
      <x:c r="G2305" s="40"/>
      <x:c r="H2305" s="40"/>
    </x:row>
    <x:row r="2306">
      <x:c r="B2306" s="40"/>
      <x:c r="C2306" s="40"/>
      <x:c r="D2306" s="40"/>
      <x:c r="E2306" s="40"/>
      <x:c r="F2306" s="40"/>
      <x:c r="G2306" s="40"/>
      <x:c r="H2306" s="40"/>
    </x:row>
    <x:row r="2307">
      <x:c r="B2307" s="40"/>
      <x:c r="C2307" s="40"/>
      <x:c r="D2307" s="40"/>
      <x:c r="E2307" s="40"/>
      <x:c r="F2307" s="40"/>
      <x:c r="G2307" s="40"/>
      <x:c r="H2307" s="40"/>
    </x:row>
    <x:row r="2308">
      <x:c r="B2308" s="40"/>
      <x:c r="C2308" s="40"/>
      <x:c r="D2308" s="40"/>
      <x:c r="E2308" s="40"/>
      <x:c r="F2308" s="40"/>
      <x:c r="G2308" s="40"/>
      <x:c r="H2308" s="40"/>
    </x:row>
    <x:row r="2309">
      <x:c r="B2309" s="40"/>
      <x:c r="C2309" s="40"/>
      <x:c r="D2309" s="40"/>
      <x:c r="E2309" s="40"/>
      <x:c r="F2309" s="40"/>
      <x:c r="G2309" s="40"/>
      <x:c r="H2309" s="40"/>
    </x:row>
    <x:row r="2310">
      <x:c r="B2310" s="40"/>
      <x:c r="C2310" s="40"/>
      <x:c r="D2310" s="40"/>
      <x:c r="E2310" s="40"/>
      <x:c r="F2310" s="40"/>
      <x:c r="G2310" s="40"/>
      <x:c r="H2310" s="40"/>
    </x:row>
    <x:row r="2311">
      <x:c r="B2311" s="40"/>
      <x:c r="C2311" s="40"/>
      <x:c r="D2311" s="40"/>
      <x:c r="E2311" s="40"/>
      <x:c r="F2311" s="40"/>
      <x:c r="G2311" s="40"/>
      <x:c r="H2311" s="40"/>
    </x:row>
    <x:row r="2312">
      <x:c r="B2312" s="40"/>
      <x:c r="C2312" s="40"/>
      <x:c r="D2312" s="40"/>
      <x:c r="E2312" s="40"/>
      <x:c r="F2312" s="40"/>
      <x:c r="G2312" s="40"/>
      <x:c r="H2312" s="40"/>
    </x:row>
    <x:row r="2313">
      <x:c r="B2313" s="40"/>
      <x:c r="C2313" s="40"/>
      <x:c r="D2313" s="40"/>
      <x:c r="E2313" s="40"/>
      <x:c r="F2313" s="40"/>
      <x:c r="G2313" s="40"/>
      <x:c r="H2313" s="40"/>
    </x:row>
    <x:row r="2314">
      <x:c r="B2314" s="40"/>
      <x:c r="C2314" s="40"/>
      <x:c r="D2314" s="40"/>
      <x:c r="E2314" s="40"/>
      <x:c r="F2314" s="40"/>
      <x:c r="G2314" s="40"/>
      <x:c r="H2314" s="40"/>
    </x:row>
    <x:row r="2315">
      <x:c r="B2315" s="40"/>
      <x:c r="C2315" s="40"/>
      <x:c r="D2315" s="40"/>
      <x:c r="E2315" s="40"/>
      <x:c r="F2315" s="40"/>
      <x:c r="G2315" s="40"/>
      <x:c r="H2315" s="40"/>
    </x:row>
    <x:row r="2316">
      <x:c r="B2316" s="40"/>
      <x:c r="C2316" s="40"/>
      <x:c r="D2316" s="40"/>
      <x:c r="E2316" s="40"/>
      <x:c r="F2316" s="40"/>
      <x:c r="G2316" s="40"/>
      <x:c r="H2316" s="40"/>
    </x:row>
    <x:row r="2317">
      <x:c r="B2317" s="40"/>
      <x:c r="C2317" s="40"/>
      <x:c r="D2317" s="40"/>
      <x:c r="E2317" s="40"/>
      <x:c r="F2317" s="40"/>
      <x:c r="G2317" s="40"/>
      <x:c r="H2317" s="40"/>
    </x:row>
    <x:row r="2318">
      <x:c r="B2318" s="40"/>
      <x:c r="C2318" s="40"/>
      <x:c r="D2318" s="40"/>
      <x:c r="E2318" s="40"/>
      <x:c r="F2318" s="40"/>
      <x:c r="G2318" s="40"/>
      <x:c r="H2318" s="40"/>
    </x:row>
    <x:row r="2319">
      <x:c r="B2319" s="40"/>
      <x:c r="C2319" s="40"/>
      <x:c r="D2319" s="40"/>
      <x:c r="E2319" s="40"/>
      <x:c r="F2319" s="40"/>
      <x:c r="G2319" s="40"/>
      <x:c r="H2319" s="40"/>
    </x:row>
    <x:row r="2320">
      <x:c r="B2320" s="40"/>
      <x:c r="C2320" s="40"/>
      <x:c r="D2320" s="40"/>
      <x:c r="E2320" s="40"/>
      <x:c r="F2320" s="40"/>
      <x:c r="G2320" s="40"/>
      <x:c r="H2320" s="40"/>
    </x:row>
    <x:row r="2321">
      <x:c r="B2321" s="40"/>
      <x:c r="C2321" s="40"/>
      <x:c r="D2321" s="40"/>
      <x:c r="E2321" s="40"/>
      <x:c r="F2321" s="40"/>
      <x:c r="G2321" s="40"/>
      <x:c r="H2321" s="40"/>
    </x:row>
    <x:row r="2322">
      <x:c r="B2322" s="40"/>
      <x:c r="C2322" s="40"/>
      <x:c r="D2322" s="40"/>
      <x:c r="E2322" s="40"/>
      <x:c r="F2322" s="40"/>
      <x:c r="G2322" s="40"/>
      <x:c r="H2322" s="40"/>
    </x:row>
    <x:row r="2323">
      <x:c r="B2323" s="40"/>
      <x:c r="C2323" s="40"/>
      <x:c r="D2323" s="40"/>
      <x:c r="E2323" s="40"/>
      <x:c r="F2323" s="40"/>
      <x:c r="G2323" s="40"/>
      <x:c r="H2323" s="40"/>
    </x:row>
    <x:row r="2324">
      <x:c r="B2324" s="40"/>
      <x:c r="C2324" s="40"/>
      <x:c r="D2324" s="40"/>
      <x:c r="E2324" s="40"/>
      <x:c r="F2324" s="40"/>
      <x:c r="G2324" s="40"/>
      <x:c r="H2324" s="40"/>
    </x:row>
    <x:row r="2325">
      <x:c r="B2325" s="40"/>
      <x:c r="C2325" s="40"/>
      <x:c r="D2325" s="40"/>
      <x:c r="E2325" s="40"/>
      <x:c r="F2325" s="40"/>
      <x:c r="G2325" s="40"/>
      <x:c r="H2325" s="40"/>
    </x:row>
    <x:row r="2326">
      <x:c r="B2326" s="40"/>
      <x:c r="C2326" s="40"/>
      <x:c r="D2326" s="40"/>
      <x:c r="E2326" s="40"/>
      <x:c r="F2326" s="40"/>
      <x:c r="G2326" s="40"/>
      <x:c r="H2326" s="40"/>
    </x:row>
    <x:row r="2327">
      <x:c r="B2327" s="40"/>
      <x:c r="C2327" s="40"/>
      <x:c r="D2327" s="40"/>
      <x:c r="E2327" s="40"/>
      <x:c r="F2327" s="40"/>
      <x:c r="G2327" s="40"/>
      <x:c r="H2327" s="40"/>
    </x:row>
    <x:row r="2328">
      <x:c r="B2328" s="40"/>
      <x:c r="C2328" s="40"/>
      <x:c r="D2328" s="40"/>
      <x:c r="E2328" s="40"/>
      <x:c r="F2328" s="40"/>
      <x:c r="G2328" s="40"/>
      <x:c r="H2328" s="40"/>
    </x:row>
    <x:row r="2329">
      <x:c r="B2329" s="40"/>
      <x:c r="C2329" s="40"/>
      <x:c r="D2329" s="40"/>
      <x:c r="E2329" s="40"/>
      <x:c r="F2329" s="40"/>
      <x:c r="G2329" s="40"/>
      <x:c r="H2329" s="40"/>
    </x:row>
    <x:row r="2330">
      <x:c r="B2330" s="40"/>
      <x:c r="C2330" s="40"/>
      <x:c r="D2330" s="40"/>
      <x:c r="E2330" s="40"/>
      <x:c r="F2330" s="40"/>
      <x:c r="G2330" s="40"/>
      <x:c r="H2330" s="40"/>
    </x:row>
    <x:row r="2331">
      <x:c r="B2331" s="40"/>
      <x:c r="C2331" s="40"/>
      <x:c r="D2331" s="40"/>
      <x:c r="E2331" s="40"/>
      <x:c r="F2331" s="40"/>
      <x:c r="G2331" s="40"/>
      <x:c r="H2331" s="40"/>
    </x:row>
    <x:row r="2332">
      <x:c r="B2332" s="40"/>
      <x:c r="C2332" s="40"/>
      <x:c r="D2332" s="40"/>
      <x:c r="E2332" s="40"/>
      <x:c r="F2332" s="40"/>
      <x:c r="G2332" s="40"/>
      <x:c r="H2332" s="40"/>
    </x:row>
    <x:row r="2333">
      <x:c r="B2333" s="40"/>
      <x:c r="C2333" s="40"/>
      <x:c r="D2333" s="40"/>
      <x:c r="E2333" s="40"/>
      <x:c r="F2333" s="40"/>
      <x:c r="G2333" s="40"/>
      <x:c r="H2333" s="40"/>
    </x:row>
    <x:row r="2334">
      <x:c r="B2334" s="40"/>
      <x:c r="C2334" s="40"/>
      <x:c r="D2334" s="40"/>
      <x:c r="E2334" s="40"/>
      <x:c r="F2334" s="40"/>
      <x:c r="G2334" s="40"/>
      <x:c r="H2334" s="40"/>
    </x:row>
    <x:row r="2335">
      <x:c r="B2335" s="40"/>
      <x:c r="C2335" s="40"/>
      <x:c r="D2335" s="40"/>
      <x:c r="E2335" s="40"/>
      <x:c r="F2335" s="40"/>
      <x:c r="G2335" s="40"/>
      <x:c r="H2335" s="40"/>
    </x:row>
    <x:row r="2336">
      <x:c r="B2336" s="40"/>
      <x:c r="C2336" s="40"/>
      <x:c r="D2336" s="40"/>
      <x:c r="E2336" s="40"/>
      <x:c r="F2336" s="40"/>
      <x:c r="G2336" s="40"/>
      <x:c r="H2336" s="40"/>
    </x:row>
    <x:row r="2337">
      <x:c r="B2337" s="40"/>
      <x:c r="C2337" s="40"/>
      <x:c r="D2337" s="40"/>
      <x:c r="E2337" s="40"/>
      <x:c r="F2337" s="40"/>
      <x:c r="G2337" s="40"/>
      <x:c r="H2337" s="40"/>
    </x:row>
    <x:row r="2338">
      <x:c r="B2338" s="40"/>
      <x:c r="C2338" s="40"/>
      <x:c r="D2338" s="40"/>
      <x:c r="E2338" s="40"/>
      <x:c r="F2338" s="40"/>
      <x:c r="G2338" s="40"/>
      <x:c r="H2338" s="40"/>
    </x:row>
    <x:row r="2339">
      <x:c r="B2339" s="40"/>
      <x:c r="C2339" s="40"/>
      <x:c r="D2339" s="40"/>
      <x:c r="E2339" s="40"/>
      <x:c r="F2339" s="40"/>
      <x:c r="G2339" s="40"/>
      <x:c r="H2339" s="40"/>
    </x:row>
    <x:row r="2340">
      <x:c r="B2340" s="40"/>
      <x:c r="C2340" s="40"/>
      <x:c r="D2340" s="40"/>
      <x:c r="E2340" s="40"/>
      <x:c r="F2340" s="40"/>
      <x:c r="G2340" s="40"/>
      <x:c r="H2340" s="40"/>
    </x:row>
    <x:row r="2341">
      <x:c r="B2341" s="40"/>
      <x:c r="C2341" s="40"/>
      <x:c r="D2341" s="40"/>
      <x:c r="E2341" s="40"/>
      <x:c r="F2341" s="40"/>
      <x:c r="G2341" s="40"/>
      <x:c r="H2341" s="40"/>
    </x:row>
    <x:row r="2342">
      <x:c r="B2342" s="40"/>
      <x:c r="C2342" s="40"/>
      <x:c r="D2342" s="40"/>
      <x:c r="E2342" s="40"/>
      <x:c r="F2342" s="40"/>
      <x:c r="G2342" s="40"/>
      <x:c r="H2342" s="40"/>
    </x:row>
    <x:row r="2343">
      <x:c r="B2343" s="40"/>
      <x:c r="C2343" s="40"/>
      <x:c r="D2343" s="40"/>
      <x:c r="E2343" s="40"/>
      <x:c r="F2343" s="40"/>
      <x:c r="G2343" s="40"/>
      <x:c r="H2343" s="40"/>
    </x:row>
    <x:row r="2344">
      <x:c r="B2344" s="40"/>
      <x:c r="C2344" s="40"/>
      <x:c r="D2344" s="40"/>
      <x:c r="E2344" s="40"/>
      <x:c r="F2344" s="40"/>
      <x:c r="G2344" s="40"/>
      <x:c r="H2344" s="40"/>
    </x:row>
    <x:row r="2345">
      <x:c r="B2345" s="40"/>
      <x:c r="C2345" s="40"/>
      <x:c r="D2345" s="40"/>
      <x:c r="E2345" s="40"/>
      <x:c r="F2345" s="40"/>
      <x:c r="G2345" s="40"/>
      <x:c r="H2345" s="40"/>
    </x:row>
    <x:row r="2346">
      <x:c r="B2346" s="40"/>
      <x:c r="C2346" s="40"/>
      <x:c r="D2346" s="40"/>
      <x:c r="E2346" s="40"/>
      <x:c r="F2346" s="40"/>
      <x:c r="G2346" s="40"/>
      <x:c r="H2346" s="40"/>
    </x:row>
    <x:row r="2347">
      <x:c r="B2347" s="40"/>
      <x:c r="C2347" s="40"/>
      <x:c r="D2347" s="40"/>
      <x:c r="E2347" s="40"/>
      <x:c r="F2347" s="40"/>
      <x:c r="G2347" s="40"/>
      <x:c r="H2347" s="40"/>
    </x:row>
    <x:row r="2348">
      <x:c r="B2348" s="40"/>
      <x:c r="C2348" s="40"/>
      <x:c r="D2348" s="40"/>
      <x:c r="E2348" s="40"/>
      <x:c r="F2348" s="40"/>
      <x:c r="G2348" s="40"/>
      <x:c r="H2348" s="40"/>
    </x:row>
    <x:row r="2349">
      <x:c r="B2349" s="40"/>
      <x:c r="C2349" s="40"/>
      <x:c r="D2349" s="40"/>
      <x:c r="E2349" s="40"/>
      <x:c r="F2349" s="40"/>
      <x:c r="G2349" s="40"/>
      <x:c r="H2349" s="40"/>
    </x:row>
    <x:row r="2350">
      <x:c r="B2350" s="40"/>
      <x:c r="C2350" s="40"/>
      <x:c r="D2350" s="40"/>
      <x:c r="E2350" s="40"/>
      <x:c r="F2350" s="40"/>
      <x:c r="G2350" s="40"/>
      <x:c r="H2350" s="40"/>
    </x:row>
    <x:row r="2351">
      <x:c r="B2351" s="40"/>
      <x:c r="C2351" s="40"/>
      <x:c r="D2351" s="40"/>
      <x:c r="E2351" s="40"/>
      <x:c r="F2351" s="40"/>
      <x:c r="G2351" s="40"/>
      <x:c r="H2351" s="40"/>
    </x:row>
    <x:row r="2352">
      <x:c r="B2352" s="40"/>
      <x:c r="C2352" s="40"/>
      <x:c r="D2352" s="40"/>
      <x:c r="E2352" s="40"/>
      <x:c r="F2352" s="40"/>
      <x:c r="G2352" s="40"/>
      <x:c r="H2352" s="40"/>
    </x:row>
    <x:row r="2353">
      <x:c r="B2353" s="40"/>
      <x:c r="C2353" s="40"/>
      <x:c r="D2353" s="40"/>
      <x:c r="E2353" s="40"/>
      <x:c r="F2353" s="40"/>
      <x:c r="G2353" s="40"/>
      <x:c r="H2353" s="40"/>
    </x:row>
    <x:row r="2354">
      <x:c r="B2354" s="40"/>
      <x:c r="C2354" s="40"/>
      <x:c r="D2354" s="40"/>
      <x:c r="E2354" s="40"/>
      <x:c r="F2354" s="40"/>
      <x:c r="G2354" s="40"/>
      <x:c r="H2354" s="40"/>
    </x:row>
    <x:row r="2355">
      <x:c r="B2355" s="40"/>
      <x:c r="C2355" s="40"/>
      <x:c r="D2355" s="40"/>
      <x:c r="E2355" s="40"/>
      <x:c r="F2355" s="40"/>
      <x:c r="G2355" s="40"/>
      <x:c r="H2355" s="40"/>
    </x:row>
    <x:row r="2356">
      <x:c r="B2356" s="40"/>
      <x:c r="C2356" s="40"/>
      <x:c r="D2356" s="40"/>
      <x:c r="E2356" s="40"/>
      <x:c r="F2356" s="40"/>
      <x:c r="G2356" s="40"/>
      <x:c r="H2356" s="40"/>
    </x:row>
    <x:row r="2357">
      <x:c r="B2357" s="40"/>
      <x:c r="C2357" s="40"/>
      <x:c r="D2357" s="40"/>
      <x:c r="E2357" s="40"/>
      <x:c r="F2357" s="40"/>
      <x:c r="G2357" s="40"/>
      <x:c r="H2357" s="40"/>
    </x:row>
    <x:row r="2358">
      <x:c r="B2358" s="40"/>
      <x:c r="C2358" s="40"/>
      <x:c r="D2358" s="40"/>
      <x:c r="E2358" s="40"/>
      <x:c r="F2358" s="40"/>
      <x:c r="G2358" s="40"/>
      <x:c r="H2358" s="40"/>
    </x:row>
    <x:row r="2359">
      <x:c r="B2359" s="40"/>
      <x:c r="C2359" s="40"/>
      <x:c r="D2359" s="40"/>
      <x:c r="E2359" s="40"/>
      <x:c r="F2359" s="40"/>
      <x:c r="G2359" s="40"/>
      <x:c r="H2359" s="40"/>
    </x:row>
    <x:row r="2360">
      <x:c r="B2360" s="40"/>
      <x:c r="C2360" s="40"/>
      <x:c r="D2360" s="40"/>
      <x:c r="E2360" s="40"/>
      <x:c r="F2360" s="40"/>
      <x:c r="G2360" s="40"/>
      <x:c r="H2360" s="40"/>
    </x:row>
    <x:row r="2361">
      <x:c r="B2361" s="40"/>
      <x:c r="C2361" s="40"/>
      <x:c r="D2361" s="40"/>
      <x:c r="E2361" s="40"/>
      <x:c r="F2361" s="40"/>
      <x:c r="G2361" s="40"/>
      <x:c r="H2361" s="40"/>
    </x:row>
    <x:row r="2362">
      <x:c r="B2362" s="40"/>
      <x:c r="C2362" s="40"/>
      <x:c r="D2362" s="40"/>
      <x:c r="E2362" s="40"/>
      <x:c r="F2362" s="40"/>
      <x:c r="G2362" s="40"/>
      <x:c r="H2362" s="40"/>
    </x:row>
    <x:row r="2363">
      <x:c r="B2363" s="40"/>
      <x:c r="C2363" s="40"/>
      <x:c r="D2363" s="40"/>
      <x:c r="E2363" s="40"/>
      <x:c r="F2363" s="40"/>
      <x:c r="G2363" s="40"/>
      <x:c r="H2363" s="40"/>
    </x:row>
    <x:row r="2364">
      <x:c r="B2364" s="40"/>
      <x:c r="C2364" s="40"/>
      <x:c r="D2364" s="40"/>
      <x:c r="E2364" s="40"/>
      <x:c r="F2364" s="40"/>
      <x:c r="G2364" s="40"/>
      <x:c r="H2364" s="40"/>
    </x:row>
    <x:row r="2365">
      <x:c r="B2365" s="40"/>
      <x:c r="C2365" s="40"/>
      <x:c r="D2365" s="40"/>
      <x:c r="E2365" s="40"/>
      <x:c r="F2365" s="40"/>
      <x:c r="G2365" s="40"/>
      <x:c r="H2365" s="40"/>
    </x:row>
    <x:row r="2366">
      <x:c r="B2366" s="40"/>
      <x:c r="C2366" s="40"/>
      <x:c r="D2366" s="40"/>
      <x:c r="E2366" s="40"/>
      <x:c r="F2366" s="40"/>
      <x:c r="G2366" s="40"/>
      <x:c r="H2366" s="40"/>
    </x:row>
    <x:row r="2367">
      <x:c r="B2367" s="40"/>
      <x:c r="C2367" s="40"/>
      <x:c r="D2367" s="40"/>
      <x:c r="E2367" s="40"/>
      <x:c r="F2367" s="40"/>
      <x:c r="G2367" s="40"/>
      <x:c r="H2367" s="40"/>
    </x:row>
    <x:row r="2368">
      <x:c r="B2368" s="40"/>
      <x:c r="C2368" s="40"/>
      <x:c r="D2368" s="40"/>
      <x:c r="E2368" s="40"/>
      <x:c r="F2368" s="40"/>
      <x:c r="G2368" s="40"/>
      <x:c r="H2368" s="40"/>
    </x:row>
    <x:row r="2369">
      <x:c r="B2369" s="40"/>
      <x:c r="C2369" s="40"/>
      <x:c r="D2369" s="40"/>
      <x:c r="E2369" s="40"/>
      <x:c r="F2369" s="40"/>
      <x:c r="G2369" s="40"/>
      <x:c r="H2369" s="40"/>
    </x:row>
    <x:row r="2370">
      <x:c r="B2370" s="40"/>
      <x:c r="C2370" s="40"/>
      <x:c r="D2370" s="40"/>
      <x:c r="E2370" s="40"/>
      <x:c r="F2370" s="40"/>
      <x:c r="G2370" s="40"/>
      <x:c r="H2370" s="40"/>
    </x:row>
    <x:row r="2371">
      <x:c r="B2371" s="40"/>
      <x:c r="C2371" s="40"/>
      <x:c r="D2371" s="40"/>
      <x:c r="E2371" s="40"/>
      <x:c r="F2371" s="40"/>
      <x:c r="G2371" s="40"/>
      <x:c r="H2371" s="40"/>
    </x:row>
    <x:row r="2372">
      <x:c r="B2372" s="40"/>
      <x:c r="C2372" s="40"/>
      <x:c r="D2372" s="40"/>
      <x:c r="E2372" s="40"/>
      <x:c r="F2372" s="40"/>
      <x:c r="G2372" s="40"/>
      <x:c r="H2372" s="40"/>
    </x:row>
    <x:row r="2373">
      <x:c r="B2373" s="40"/>
      <x:c r="C2373" s="40"/>
      <x:c r="D2373" s="40"/>
      <x:c r="E2373" s="40"/>
      <x:c r="F2373" s="40"/>
      <x:c r="G2373" s="40"/>
      <x:c r="H2373" s="40"/>
    </x:row>
    <x:row r="2374">
      <x:c r="B2374" s="40"/>
      <x:c r="C2374" s="40"/>
      <x:c r="D2374" s="40"/>
      <x:c r="E2374" s="40"/>
      <x:c r="F2374" s="40"/>
      <x:c r="G2374" s="40"/>
      <x:c r="H2374" s="40"/>
    </x:row>
    <x:row r="2375">
      <x:c r="B2375" s="40"/>
      <x:c r="C2375" s="40"/>
      <x:c r="D2375" s="40"/>
      <x:c r="E2375" s="40"/>
      <x:c r="F2375" s="40"/>
      <x:c r="G2375" s="40"/>
      <x:c r="H2375" s="40"/>
    </x:row>
    <x:row r="2376">
      <x:c r="B2376" s="40"/>
      <x:c r="C2376" s="40"/>
      <x:c r="D2376" s="40"/>
      <x:c r="E2376" s="40"/>
      <x:c r="F2376" s="40"/>
      <x:c r="G2376" s="40"/>
      <x:c r="H2376" s="40"/>
    </x:row>
    <x:row r="2377">
      <x:c r="B2377" s="40"/>
      <x:c r="C2377" s="40"/>
      <x:c r="D2377" s="40"/>
      <x:c r="E2377" s="40"/>
      <x:c r="F2377" s="40"/>
      <x:c r="G2377" s="40"/>
      <x:c r="H2377" s="40"/>
    </x:row>
    <x:row r="2378">
      <x:c r="B2378" s="40"/>
      <x:c r="C2378" s="40"/>
      <x:c r="D2378" s="40"/>
      <x:c r="E2378" s="40"/>
      <x:c r="F2378" s="40"/>
      <x:c r="G2378" s="40"/>
      <x:c r="H2378" s="40"/>
    </x:row>
    <x:row r="2379">
      <x:c r="B2379" s="40"/>
      <x:c r="C2379" s="40"/>
      <x:c r="D2379" s="40"/>
      <x:c r="E2379" s="40"/>
      <x:c r="F2379" s="40"/>
      <x:c r="G2379" s="40"/>
      <x:c r="H2379" s="40"/>
    </x:row>
    <x:row r="2380">
      <x:c r="B2380" s="40"/>
      <x:c r="C2380" s="40"/>
      <x:c r="D2380" s="40"/>
      <x:c r="E2380" s="40"/>
      <x:c r="F2380" s="40"/>
      <x:c r="G2380" s="40"/>
      <x:c r="H2380" s="40"/>
    </x:row>
    <x:row r="2381">
      <x:c r="B2381" s="40"/>
      <x:c r="C2381" s="40"/>
      <x:c r="D2381" s="40"/>
      <x:c r="E2381" s="40"/>
      <x:c r="F2381" s="40"/>
      <x:c r="G2381" s="40"/>
      <x:c r="H2381" s="40"/>
    </x:row>
    <x:row r="2382">
      <x:c r="B2382" s="40"/>
      <x:c r="C2382" s="40"/>
      <x:c r="D2382" s="40"/>
      <x:c r="E2382" s="40"/>
      <x:c r="F2382" s="40"/>
      <x:c r="G2382" s="40"/>
      <x:c r="H2382" s="40"/>
    </x:row>
    <x:row r="2383">
      <x:c r="B2383" s="40"/>
      <x:c r="C2383" s="40"/>
      <x:c r="D2383" s="40"/>
      <x:c r="E2383" s="40"/>
      <x:c r="F2383" s="40"/>
      <x:c r="G2383" s="40"/>
      <x:c r="H2383" s="40"/>
    </x:row>
    <x:row r="2384">
      <x:c r="B2384" s="40"/>
      <x:c r="C2384" s="40"/>
      <x:c r="D2384" s="40"/>
      <x:c r="E2384" s="40"/>
      <x:c r="F2384" s="40"/>
      <x:c r="G2384" s="40"/>
      <x:c r="H2384" s="40"/>
    </x:row>
    <x:row r="2385">
      <x:c r="B2385" s="40"/>
      <x:c r="C2385" s="40"/>
      <x:c r="D2385" s="40"/>
      <x:c r="E2385" s="40"/>
      <x:c r="F2385" s="40"/>
      <x:c r="G2385" s="40"/>
      <x:c r="H2385" s="40"/>
    </x:row>
    <x:row r="2386">
      <x:c r="B2386" s="40"/>
      <x:c r="C2386" s="40"/>
      <x:c r="D2386" s="40"/>
      <x:c r="E2386" s="40"/>
      <x:c r="F2386" s="40"/>
      <x:c r="G2386" s="40"/>
      <x:c r="H2386" s="40"/>
    </x:row>
    <x:row r="2387">
      <x:c r="B2387" s="40"/>
      <x:c r="C2387" s="40"/>
      <x:c r="D2387" s="40"/>
      <x:c r="E2387" s="40"/>
      <x:c r="F2387" s="40"/>
      <x:c r="G2387" s="40"/>
      <x:c r="H2387" s="40"/>
    </x:row>
    <x:row r="2388">
      <x:c r="B2388" s="40"/>
      <x:c r="C2388" s="40"/>
      <x:c r="D2388" s="40"/>
      <x:c r="E2388" s="40"/>
      <x:c r="F2388" s="40"/>
      <x:c r="G2388" s="40"/>
      <x:c r="H2388" s="40"/>
    </x:row>
    <x:row r="2389">
      <x:c r="B2389" s="40"/>
      <x:c r="C2389" s="40"/>
      <x:c r="D2389" s="40"/>
      <x:c r="E2389" s="40"/>
      <x:c r="F2389" s="40"/>
      <x:c r="G2389" s="40"/>
      <x:c r="H2389" s="40"/>
    </x:row>
    <x:row r="2390">
      <x:c r="B2390" s="40"/>
      <x:c r="C2390" s="40"/>
      <x:c r="D2390" s="40"/>
      <x:c r="E2390" s="40"/>
      <x:c r="F2390" s="40"/>
      <x:c r="G2390" s="40"/>
      <x:c r="H2390" s="40"/>
    </x:row>
    <x:row r="2391">
      <x:c r="B2391" s="40"/>
      <x:c r="C2391" s="40"/>
      <x:c r="D2391" s="40"/>
      <x:c r="E2391" s="40"/>
      <x:c r="F2391" s="40"/>
      <x:c r="G2391" s="40"/>
      <x:c r="H2391" s="40"/>
    </x:row>
    <x:row r="2392">
      <x:c r="B2392" s="40"/>
      <x:c r="C2392" s="40"/>
      <x:c r="D2392" s="40"/>
      <x:c r="E2392" s="40"/>
      <x:c r="F2392" s="40"/>
      <x:c r="G2392" s="40"/>
      <x:c r="H2392" s="40"/>
    </x:row>
    <x:row r="2393">
      <x:c r="B2393" s="40"/>
      <x:c r="C2393" s="40"/>
      <x:c r="D2393" s="40"/>
      <x:c r="E2393" s="40"/>
      <x:c r="F2393" s="40"/>
      <x:c r="G2393" s="40"/>
      <x:c r="H2393" s="40"/>
    </x:row>
    <x:row r="2394">
      <x:c r="B2394" s="40"/>
      <x:c r="C2394" s="40"/>
      <x:c r="D2394" s="40"/>
      <x:c r="E2394" s="40"/>
      <x:c r="F2394" s="40"/>
      <x:c r="G2394" s="40"/>
      <x:c r="H2394" s="40"/>
    </x:row>
    <x:row r="2395">
      <x:c r="B2395" s="40"/>
      <x:c r="C2395" s="40"/>
      <x:c r="D2395" s="40"/>
      <x:c r="E2395" s="40"/>
      <x:c r="F2395" s="40"/>
      <x:c r="G2395" s="40"/>
      <x:c r="H2395" s="40"/>
    </x:row>
    <x:row r="2396">
      <x:c r="B2396" s="40"/>
      <x:c r="C2396" s="40"/>
      <x:c r="D2396" s="40"/>
      <x:c r="E2396" s="40"/>
      <x:c r="F2396" s="40"/>
      <x:c r="G2396" s="40"/>
      <x:c r="H2396" s="40"/>
    </x:row>
    <x:row r="2397">
      <x:c r="B2397" s="40"/>
      <x:c r="C2397" s="40"/>
      <x:c r="D2397" s="40"/>
      <x:c r="E2397" s="40"/>
      <x:c r="F2397" s="40"/>
      <x:c r="G2397" s="40"/>
      <x:c r="H2397" s="40"/>
    </x:row>
    <x:row r="2398">
      <x:c r="B2398" s="40"/>
      <x:c r="C2398" s="40"/>
      <x:c r="D2398" s="40"/>
      <x:c r="E2398" s="40"/>
      <x:c r="F2398" s="40"/>
      <x:c r="G2398" s="40"/>
      <x:c r="H2398" s="40"/>
    </x:row>
    <x:row r="2399">
      <x:c r="B2399" s="40"/>
      <x:c r="C2399" s="40"/>
      <x:c r="D2399" s="40"/>
      <x:c r="E2399" s="40"/>
      <x:c r="F2399" s="40"/>
      <x:c r="G2399" s="40"/>
      <x:c r="H2399" s="40"/>
    </x:row>
    <x:row r="2400">
      <x:c r="B2400" s="40"/>
      <x:c r="C2400" s="40"/>
      <x:c r="D2400" s="40"/>
      <x:c r="E2400" s="40"/>
      <x:c r="F2400" s="40"/>
      <x:c r="G2400" s="40"/>
      <x:c r="H2400" s="40"/>
    </x:row>
    <x:row r="2401">
      <x:c r="B2401" s="40"/>
      <x:c r="C2401" s="40"/>
      <x:c r="D2401" s="40"/>
      <x:c r="E2401" s="40"/>
      <x:c r="F2401" s="40"/>
      <x:c r="G2401" s="40"/>
      <x:c r="H2401" s="40"/>
    </x:row>
    <x:row r="2402">
      <x:c r="B2402" s="40"/>
      <x:c r="C2402" s="40"/>
      <x:c r="D2402" s="40"/>
      <x:c r="E2402" s="40"/>
      <x:c r="F2402" s="40"/>
      <x:c r="G2402" s="40"/>
      <x:c r="H2402" s="40"/>
    </x:row>
    <x:row r="2403">
      <x:c r="B2403" s="40"/>
      <x:c r="C2403" s="40"/>
      <x:c r="D2403" s="40"/>
      <x:c r="E2403" s="40"/>
      <x:c r="F2403" s="40"/>
      <x:c r="G2403" s="40"/>
      <x:c r="H2403" s="40"/>
    </x:row>
    <x:row r="2404">
      <x:c r="B2404" s="40"/>
      <x:c r="C2404" s="40"/>
      <x:c r="D2404" s="40"/>
      <x:c r="E2404" s="40"/>
      <x:c r="F2404" s="40"/>
      <x:c r="G2404" s="40"/>
      <x:c r="H2404" s="40"/>
    </x:row>
    <x:row r="2405">
      <x:c r="B2405" s="40"/>
      <x:c r="C2405" s="40"/>
      <x:c r="D2405" s="40"/>
      <x:c r="E2405" s="40"/>
      <x:c r="F2405" s="40"/>
      <x:c r="G2405" s="40"/>
      <x:c r="H2405" s="40"/>
    </x:row>
    <x:row r="2406">
      <x:c r="B2406" s="40"/>
      <x:c r="C2406" s="40"/>
      <x:c r="D2406" s="40"/>
      <x:c r="E2406" s="40"/>
      <x:c r="F2406" s="40"/>
      <x:c r="G2406" s="40"/>
      <x:c r="H2406" s="40"/>
    </x:row>
    <x:row r="2407">
      <x:c r="B2407" s="40"/>
      <x:c r="C2407" s="40"/>
      <x:c r="D2407" s="40"/>
      <x:c r="E2407" s="40"/>
      <x:c r="F2407" s="40"/>
      <x:c r="G2407" s="40"/>
      <x:c r="H2407" s="40"/>
    </x:row>
    <x:row r="2408">
      <x:c r="B2408" s="40"/>
      <x:c r="C2408" s="40"/>
      <x:c r="D2408" s="40"/>
      <x:c r="E2408" s="40"/>
      <x:c r="F2408" s="40"/>
      <x:c r="G2408" s="40"/>
      <x:c r="H2408" s="40"/>
    </x:row>
    <x:row r="2409">
      <x:c r="B2409" s="40"/>
      <x:c r="C2409" s="40"/>
      <x:c r="D2409" s="40"/>
      <x:c r="E2409" s="40"/>
      <x:c r="F2409" s="40"/>
      <x:c r="G2409" s="40"/>
      <x:c r="H2409" s="40"/>
    </x:row>
    <x:row r="2410">
      <x:c r="B2410" s="40"/>
      <x:c r="C2410" s="40"/>
      <x:c r="D2410" s="40"/>
      <x:c r="E2410" s="40"/>
      <x:c r="F2410" s="40"/>
      <x:c r="G2410" s="40"/>
      <x:c r="H2410" s="40"/>
    </x:row>
    <x:row r="2411">
      <x:c r="B2411" s="40"/>
      <x:c r="C2411" s="40"/>
      <x:c r="D2411" s="40"/>
      <x:c r="E2411" s="40"/>
      <x:c r="F2411" s="40"/>
      <x:c r="G2411" s="40"/>
      <x:c r="H2411" s="40"/>
    </x:row>
    <x:row r="2412">
      <x:c r="B2412" s="40"/>
      <x:c r="C2412" s="40"/>
      <x:c r="D2412" s="40"/>
      <x:c r="E2412" s="40"/>
      <x:c r="F2412" s="40"/>
      <x:c r="G2412" s="40"/>
      <x:c r="H2412" s="40"/>
    </x:row>
    <x:row r="2413">
      <x:c r="B2413" s="40"/>
      <x:c r="C2413" s="40"/>
      <x:c r="D2413" s="40"/>
      <x:c r="E2413" s="40"/>
      <x:c r="F2413" s="40"/>
      <x:c r="G2413" s="40"/>
      <x:c r="H2413" s="40"/>
    </x:row>
    <x:row r="2414">
      <x:c r="B2414" s="40"/>
      <x:c r="C2414" s="40"/>
      <x:c r="D2414" s="40"/>
      <x:c r="E2414" s="40"/>
      <x:c r="F2414" s="40"/>
      <x:c r="G2414" s="40"/>
      <x:c r="H2414" s="40"/>
    </x:row>
    <x:row r="2415">
      <x:c r="B2415" s="40"/>
      <x:c r="C2415" s="40"/>
      <x:c r="D2415" s="40"/>
      <x:c r="E2415" s="40"/>
      <x:c r="F2415" s="40"/>
      <x:c r="G2415" s="40"/>
      <x:c r="H2415" s="40"/>
    </x:row>
    <x:row r="2416">
      <x:c r="B2416" s="40"/>
      <x:c r="C2416" s="40"/>
      <x:c r="D2416" s="40"/>
      <x:c r="E2416" s="40"/>
      <x:c r="F2416" s="40"/>
      <x:c r="G2416" s="40"/>
      <x:c r="H2416" s="40"/>
    </x:row>
    <x:row r="2417">
      <x:c r="B2417" s="40"/>
      <x:c r="C2417" s="40"/>
      <x:c r="D2417" s="40"/>
      <x:c r="E2417" s="40"/>
      <x:c r="F2417" s="40"/>
      <x:c r="G2417" s="40"/>
      <x:c r="H2417" s="40"/>
    </x:row>
    <x:row r="2418">
      <x:c r="B2418" s="40"/>
      <x:c r="C2418" s="40"/>
      <x:c r="D2418" s="40"/>
      <x:c r="E2418" s="40"/>
      <x:c r="F2418" s="40"/>
      <x:c r="G2418" s="40"/>
      <x:c r="H2418" s="40"/>
    </x:row>
    <x:row r="2419">
      <x:c r="B2419" s="40"/>
      <x:c r="C2419" s="40"/>
      <x:c r="D2419" s="40"/>
      <x:c r="E2419" s="40"/>
      <x:c r="F2419" s="40"/>
      <x:c r="G2419" s="40"/>
      <x:c r="H2419" s="40"/>
    </x:row>
    <x:row r="2420">
      <x:c r="B2420" s="40"/>
      <x:c r="C2420" s="40"/>
      <x:c r="D2420" s="40"/>
      <x:c r="E2420" s="40"/>
      <x:c r="F2420" s="40"/>
      <x:c r="G2420" s="40"/>
      <x:c r="H2420" s="40"/>
    </x:row>
    <x:row r="2421">
      <x:c r="B2421" s="40"/>
      <x:c r="C2421" s="40"/>
      <x:c r="D2421" s="40"/>
      <x:c r="E2421" s="40"/>
      <x:c r="F2421" s="40"/>
      <x:c r="G2421" s="40"/>
      <x:c r="H2421" s="40"/>
    </x:row>
    <x:row r="2422">
      <x:c r="B2422" s="40"/>
      <x:c r="C2422" s="40"/>
      <x:c r="D2422" s="40"/>
      <x:c r="E2422" s="40"/>
      <x:c r="F2422" s="40"/>
      <x:c r="G2422" s="40"/>
      <x:c r="H2422" s="40"/>
    </x:row>
    <x:row r="2423">
      <x:c r="B2423" s="40"/>
      <x:c r="C2423" s="40"/>
      <x:c r="D2423" s="40"/>
      <x:c r="E2423" s="40"/>
      <x:c r="F2423" s="40"/>
      <x:c r="G2423" s="40"/>
      <x:c r="H2423" s="40"/>
    </x:row>
    <x:row r="2424">
      <x:c r="B2424" s="40"/>
      <x:c r="C2424" s="40"/>
      <x:c r="D2424" s="40"/>
      <x:c r="E2424" s="40"/>
      <x:c r="F2424" s="40"/>
      <x:c r="G2424" s="40"/>
      <x:c r="H2424" s="40"/>
    </x:row>
    <x:row r="2425">
      <x:c r="B2425" s="40"/>
      <x:c r="C2425" s="40"/>
      <x:c r="D2425" s="40"/>
      <x:c r="E2425" s="40"/>
      <x:c r="F2425" s="40"/>
      <x:c r="G2425" s="40"/>
      <x:c r="H2425" s="40"/>
    </x:row>
    <x:row r="2426">
      <x:c r="B2426" s="40"/>
      <x:c r="C2426" s="40"/>
      <x:c r="D2426" s="40"/>
      <x:c r="E2426" s="40"/>
      <x:c r="F2426" s="40"/>
      <x:c r="G2426" s="40"/>
      <x:c r="H2426" s="40"/>
    </x:row>
    <x:row r="2427">
      <x:c r="B2427" s="40"/>
      <x:c r="C2427" s="40"/>
      <x:c r="D2427" s="40"/>
      <x:c r="E2427" s="40"/>
      <x:c r="F2427" s="40"/>
      <x:c r="G2427" s="40"/>
      <x:c r="H2427" s="40"/>
    </x:row>
    <x:row r="2428">
      <x:c r="B2428" s="40"/>
      <x:c r="C2428" s="40"/>
      <x:c r="D2428" s="40"/>
      <x:c r="E2428" s="40"/>
      <x:c r="F2428" s="40"/>
      <x:c r="G2428" s="40"/>
      <x:c r="H2428" s="40"/>
    </x:row>
    <x:row r="2429">
      <x:c r="B2429" s="40"/>
      <x:c r="C2429" s="40"/>
      <x:c r="D2429" s="40"/>
      <x:c r="E2429" s="40"/>
      <x:c r="F2429" s="40"/>
      <x:c r="G2429" s="40"/>
      <x:c r="H2429" s="40"/>
    </x:row>
    <x:row r="2430">
      <x:c r="B2430" s="40"/>
      <x:c r="C2430" s="40"/>
      <x:c r="D2430" s="40"/>
      <x:c r="E2430" s="40"/>
      <x:c r="F2430" s="40"/>
      <x:c r="G2430" s="40"/>
      <x:c r="H2430" s="40"/>
    </x:row>
    <x:row r="2431">
      <x:c r="B2431" s="40"/>
      <x:c r="C2431" s="40"/>
      <x:c r="D2431" s="40"/>
      <x:c r="E2431" s="40"/>
      <x:c r="F2431" s="40"/>
      <x:c r="G2431" s="40"/>
      <x:c r="H2431" s="40"/>
    </x:row>
    <x:row r="2432">
      <x:c r="B2432" s="40"/>
      <x:c r="C2432" s="40"/>
      <x:c r="D2432" s="40"/>
      <x:c r="E2432" s="40"/>
      <x:c r="F2432" s="40"/>
      <x:c r="G2432" s="40"/>
      <x:c r="H2432" s="40"/>
    </x:row>
    <x:row r="2433">
      <x:c r="B2433" s="40"/>
      <x:c r="C2433" s="40"/>
      <x:c r="D2433" s="40"/>
      <x:c r="E2433" s="40"/>
      <x:c r="F2433" s="40"/>
      <x:c r="G2433" s="40"/>
      <x:c r="H2433" s="40"/>
    </x:row>
    <x:row r="2434">
      <x:c r="B2434" s="40"/>
      <x:c r="C2434" s="40"/>
      <x:c r="D2434" s="40"/>
      <x:c r="E2434" s="40"/>
      <x:c r="F2434" s="40"/>
      <x:c r="G2434" s="40"/>
      <x:c r="H2434" s="40"/>
    </x:row>
    <x:row r="2435">
      <x:c r="B2435" s="40"/>
      <x:c r="C2435" s="40"/>
      <x:c r="D2435" s="40"/>
      <x:c r="E2435" s="40"/>
      <x:c r="F2435" s="40"/>
      <x:c r="G2435" s="40"/>
      <x:c r="H2435" s="40"/>
    </x:row>
    <x:row r="2436">
      <x:c r="B2436" s="40"/>
      <x:c r="C2436" s="40"/>
      <x:c r="D2436" s="40"/>
      <x:c r="E2436" s="40"/>
      <x:c r="F2436" s="40"/>
      <x:c r="G2436" s="40"/>
      <x:c r="H2436" s="40"/>
    </x:row>
    <x:row r="2437">
      <x:c r="B2437" s="40"/>
      <x:c r="C2437" s="40"/>
      <x:c r="D2437" s="40"/>
      <x:c r="E2437" s="40"/>
      <x:c r="F2437" s="40"/>
      <x:c r="G2437" s="40"/>
      <x:c r="H2437" s="40"/>
    </x:row>
    <x:row r="2438">
      <x:c r="B2438" s="40"/>
      <x:c r="C2438" s="40"/>
      <x:c r="D2438" s="40"/>
      <x:c r="E2438" s="40"/>
      <x:c r="F2438" s="40"/>
      <x:c r="G2438" s="40"/>
      <x:c r="H2438" s="40"/>
    </x:row>
    <x:row r="2439">
      <x:c r="B2439" s="40"/>
      <x:c r="C2439" s="40"/>
      <x:c r="D2439" s="40"/>
      <x:c r="E2439" s="40"/>
      <x:c r="F2439" s="40"/>
      <x:c r="G2439" s="40"/>
      <x:c r="H2439" s="40"/>
    </x:row>
    <x:row r="2440">
      <x:c r="B2440" s="40"/>
      <x:c r="C2440" s="40"/>
      <x:c r="D2440" s="40"/>
      <x:c r="E2440" s="40"/>
      <x:c r="F2440" s="40"/>
      <x:c r="G2440" s="40"/>
      <x:c r="H2440" s="40"/>
    </x:row>
    <x:row r="2441">
      <x:c r="B2441" s="40"/>
      <x:c r="C2441" s="40"/>
      <x:c r="D2441" s="40"/>
      <x:c r="E2441" s="40"/>
      <x:c r="F2441" s="40"/>
      <x:c r="G2441" s="40"/>
      <x:c r="H2441" s="40"/>
    </x:row>
    <x:row r="2442">
      <x:c r="B2442" s="40"/>
      <x:c r="C2442" s="40"/>
      <x:c r="D2442" s="40"/>
      <x:c r="E2442" s="40"/>
      <x:c r="F2442" s="40"/>
      <x:c r="G2442" s="40"/>
      <x:c r="H2442" s="40"/>
    </x:row>
    <x:row r="2443">
      <x:c r="B2443" s="40"/>
      <x:c r="C2443" s="40"/>
      <x:c r="D2443" s="40"/>
      <x:c r="E2443" s="40"/>
      <x:c r="F2443" s="40"/>
      <x:c r="G2443" s="40"/>
      <x:c r="H2443" s="40"/>
    </x:row>
    <x:row r="2444">
      <x:c r="B2444" s="40"/>
      <x:c r="C2444" s="40"/>
      <x:c r="D2444" s="40"/>
      <x:c r="E2444" s="40"/>
      <x:c r="F2444" s="40"/>
      <x:c r="G2444" s="40"/>
      <x:c r="H2444" s="40"/>
    </x:row>
    <x:row r="2445">
      <x:c r="B2445" s="40"/>
      <x:c r="C2445" s="40"/>
      <x:c r="D2445" s="40"/>
      <x:c r="E2445" s="40"/>
      <x:c r="F2445" s="40"/>
      <x:c r="G2445" s="40"/>
      <x:c r="H2445" s="40"/>
    </x:row>
    <x:row r="2446">
      <x:c r="B2446" s="40"/>
      <x:c r="C2446" s="40"/>
      <x:c r="D2446" s="40"/>
      <x:c r="E2446" s="40"/>
      <x:c r="F2446" s="40"/>
      <x:c r="G2446" s="40"/>
      <x:c r="H2446" s="40"/>
    </x:row>
    <x:row r="2447">
      <x:c r="B2447" s="40"/>
      <x:c r="C2447" s="40"/>
      <x:c r="D2447" s="40"/>
      <x:c r="E2447" s="40"/>
      <x:c r="F2447" s="40"/>
      <x:c r="G2447" s="40"/>
      <x:c r="H2447" s="40"/>
    </x:row>
    <x:row r="2448">
      <x:c r="B2448" s="40"/>
      <x:c r="C2448" s="40"/>
      <x:c r="D2448" s="40"/>
      <x:c r="E2448" s="40"/>
      <x:c r="F2448" s="40"/>
      <x:c r="G2448" s="40"/>
      <x:c r="H2448" s="40"/>
    </x:row>
    <x:row r="2449">
      <x:c r="B2449" s="40"/>
      <x:c r="C2449" s="40"/>
      <x:c r="D2449" s="40"/>
      <x:c r="E2449" s="40"/>
      <x:c r="F2449" s="40"/>
      <x:c r="G2449" s="40"/>
      <x:c r="H2449" s="40"/>
    </x:row>
    <x:row r="2450">
      <x:c r="B2450" s="40"/>
      <x:c r="C2450" s="40"/>
      <x:c r="D2450" s="40"/>
      <x:c r="E2450" s="40"/>
      <x:c r="F2450" s="40"/>
      <x:c r="G2450" s="40"/>
      <x:c r="H2450" s="40"/>
    </x:row>
    <x:row r="2451">
      <x:c r="B2451" s="40"/>
      <x:c r="C2451" s="40"/>
      <x:c r="D2451" s="40"/>
      <x:c r="E2451" s="40"/>
      <x:c r="F2451" s="40"/>
      <x:c r="G2451" s="40"/>
      <x:c r="H2451" s="40"/>
    </x:row>
    <x:row r="2452">
      <x:c r="B2452" s="40"/>
      <x:c r="C2452" s="40"/>
      <x:c r="D2452" s="40"/>
      <x:c r="E2452" s="40"/>
      <x:c r="F2452" s="40"/>
      <x:c r="G2452" s="40"/>
      <x:c r="H2452" s="40"/>
    </x:row>
    <x:row r="2453">
      <x:c r="B2453" s="40"/>
      <x:c r="C2453" s="40"/>
      <x:c r="D2453" s="40"/>
      <x:c r="E2453" s="40"/>
      <x:c r="F2453" s="40"/>
      <x:c r="G2453" s="40"/>
      <x:c r="H2453" s="40"/>
    </x:row>
    <x:row r="2454">
      <x:c r="B2454" s="40"/>
      <x:c r="C2454" s="40"/>
      <x:c r="D2454" s="40"/>
      <x:c r="E2454" s="40"/>
      <x:c r="F2454" s="40"/>
      <x:c r="G2454" s="40"/>
      <x:c r="H2454" s="40"/>
    </x:row>
    <x:row r="2455">
      <x:c r="B2455" s="40"/>
      <x:c r="C2455" s="40"/>
      <x:c r="D2455" s="40"/>
      <x:c r="E2455" s="40"/>
      <x:c r="F2455" s="40"/>
      <x:c r="G2455" s="40"/>
      <x:c r="H2455" s="40"/>
    </x:row>
    <x:row r="2456">
      <x:c r="B2456" s="40"/>
      <x:c r="C2456" s="40"/>
      <x:c r="D2456" s="40"/>
      <x:c r="E2456" s="40"/>
      <x:c r="F2456" s="40"/>
      <x:c r="G2456" s="40"/>
      <x:c r="H2456" s="40"/>
    </x:row>
    <x:row r="2457">
      <x:c r="B2457" s="40"/>
      <x:c r="C2457" s="40"/>
      <x:c r="D2457" s="40"/>
      <x:c r="E2457" s="40"/>
      <x:c r="F2457" s="40"/>
      <x:c r="G2457" s="40"/>
      <x:c r="H2457" s="40"/>
    </x:row>
    <x:row r="2458">
      <x:c r="B2458" s="40"/>
      <x:c r="C2458" s="40"/>
      <x:c r="D2458" s="40"/>
      <x:c r="E2458" s="40"/>
      <x:c r="F2458" s="40"/>
      <x:c r="G2458" s="40"/>
      <x:c r="H2458" s="40"/>
    </x:row>
    <x:row r="2459">
      <x:c r="B2459" s="40"/>
      <x:c r="C2459" s="40"/>
      <x:c r="D2459" s="40"/>
      <x:c r="E2459" s="40"/>
      <x:c r="F2459" s="40"/>
      <x:c r="G2459" s="40"/>
      <x:c r="H2459" s="40"/>
    </x:row>
    <x:row r="2460">
      <x:c r="B2460" s="40"/>
      <x:c r="C2460" s="40"/>
      <x:c r="D2460" s="40"/>
      <x:c r="E2460" s="40"/>
      <x:c r="F2460" s="40"/>
      <x:c r="G2460" s="40"/>
      <x:c r="H2460" s="40"/>
    </x:row>
    <x:row r="2461">
      <x:c r="B2461" s="40"/>
      <x:c r="C2461" s="40"/>
      <x:c r="D2461" s="40"/>
      <x:c r="E2461" s="40"/>
      <x:c r="F2461" s="40"/>
      <x:c r="G2461" s="40"/>
      <x:c r="H2461" s="40"/>
    </x:row>
    <x:row r="2462">
      <x:c r="B2462" s="40"/>
      <x:c r="C2462" s="40"/>
      <x:c r="D2462" s="40"/>
      <x:c r="E2462" s="40"/>
      <x:c r="F2462" s="40"/>
      <x:c r="G2462" s="40"/>
      <x:c r="H2462" s="40"/>
    </x:row>
    <x:row r="2463">
      <x:c r="B2463" s="40"/>
      <x:c r="C2463" s="40"/>
      <x:c r="D2463" s="40"/>
      <x:c r="E2463" s="40"/>
      <x:c r="F2463" s="40"/>
      <x:c r="G2463" s="40"/>
      <x:c r="H2463" s="40"/>
    </x:row>
    <x:row r="2464">
      <x:c r="B2464" s="40"/>
      <x:c r="C2464" s="40"/>
      <x:c r="D2464" s="40"/>
      <x:c r="E2464" s="40"/>
      <x:c r="F2464" s="40"/>
      <x:c r="G2464" s="40"/>
      <x:c r="H2464" s="40"/>
    </x:row>
    <x:row r="2465">
      <x:c r="B2465" s="40"/>
      <x:c r="C2465" s="40"/>
      <x:c r="D2465" s="40"/>
      <x:c r="E2465" s="40"/>
      <x:c r="F2465" s="40"/>
      <x:c r="G2465" s="40"/>
      <x:c r="H2465" s="40"/>
    </x:row>
    <x:row r="2466">
      <x:c r="B2466" s="40"/>
      <x:c r="C2466" s="40"/>
      <x:c r="D2466" s="40"/>
      <x:c r="E2466" s="40"/>
      <x:c r="F2466" s="40"/>
      <x:c r="G2466" s="40"/>
      <x:c r="H2466" s="40"/>
    </x:row>
    <x:row r="2467">
      <x:c r="B2467" s="40"/>
      <x:c r="C2467" s="40"/>
      <x:c r="D2467" s="40"/>
      <x:c r="E2467" s="40"/>
      <x:c r="F2467" s="40"/>
      <x:c r="G2467" s="40"/>
      <x:c r="H2467" s="40"/>
    </x:row>
    <x:row r="2468">
      <x:c r="B2468" s="40"/>
      <x:c r="C2468" s="40"/>
      <x:c r="D2468" s="40"/>
      <x:c r="E2468" s="40"/>
      <x:c r="F2468" s="40"/>
      <x:c r="G2468" s="40"/>
      <x:c r="H2468" s="40"/>
    </x:row>
    <x:row r="2469">
      <x:c r="B2469" s="40"/>
      <x:c r="C2469" s="40"/>
      <x:c r="D2469" s="40"/>
      <x:c r="E2469" s="40"/>
      <x:c r="F2469" s="40"/>
      <x:c r="G2469" s="40"/>
      <x:c r="H2469" s="40"/>
    </x:row>
    <x:row r="2470">
      <x:c r="B2470" s="40"/>
      <x:c r="C2470" s="40"/>
      <x:c r="D2470" s="40"/>
      <x:c r="E2470" s="40"/>
      <x:c r="F2470" s="40"/>
      <x:c r="G2470" s="40"/>
      <x:c r="H2470" s="40"/>
    </x:row>
    <x:row r="2471">
      <x:c r="B2471" s="40"/>
      <x:c r="C2471" s="40"/>
      <x:c r="D2471" s="40"/>
      <x:c r="E2471" s="40"/>
      <x:c r="F2471" s="40"/>
      <x:c r="G2471" s="40"/>
      <x:c r="H2471" s="40"/>
    </x:row>
    <x:row r="2472">
      <x:c r="B2472" s="40"/>
      <x:c r="C2472" s="40"/>
      <x:c r="D2472" s="40"/>
      <x:c r="E2472" s="40"/>
      <x:c r="F2472" s="40"/>
      <x:c r="G2472" s="40"/>
      <x:c r="H2472" s="40"/>
    </x:row>
    <x:row r="2473">
      <x:c r="B2473" s="40"/>
      <x:c r="C2473" s="40"/>
      <x:c r="D2473" s="40"/>
      <x:c r="E2473" s="40"/>
      <x:c r="F2473" s="40"/>
      <x:c r="G2473" s="40"/>
      <x:c r="H2473" s="40"/>
    </x:row>
    <x:row r="2474">
      <x:c r="B2474" s="40"/>
      <x:c r="C2474" s="40"/>
      <x:c r="D2474" s="40"/>
      <x:c r="E2474" s="40"/>
      <x:c r="F2474" s="40"/>
      <x:c r="G2474" s="40"/>
      <x:c r="H2474" s="40"/>
    </x:row>
    <x:row r="2475">
      <x:c r="B2475" s="40"/>
      <x:c r="C2475" s="40"/>
      <x:c r="D2475" s="40"/>
      <x:c r="E2475" s="40"/>
      <x:c r="F2475" s="40"/>
      <x:c r="G2475" s="40"/>
      <x:c r="H2475" s="40"/>
    </x:row>
    <x:row r="2476">
      <x:c r="B2476" s="40"/>
      <x:c r="C2476" s="40"/>
      <x:c r="D2476" s="40"/>
      <x:c r="E2476" s="40"/>
      <x:c r="F2476" s="40"/>
      <x:c r="G2476" s="40"/>
      <x:c r="H2476" s="40"/>
    </x:row>
    <x:row r="2477">
      <x:c r="B2477" s="40"/>
      <x:c r="C2477" s="40"/>
      <x:c r="D2477" s="40"/>
      <x:c r="E2477" s="40"/>
      <x:c r="F2477" s="40"/>
      <x:c r="G2477" s="40"/>
      <x:c r="H2477" s="40"/>
    </x:row>
    <x:row r="2478">
      <x:c r="B2478" s="40"/>
      <x:c r="C2478" s="40"/>
      <x:c r="D2478" s="40"/>
      <x:c r="E2478" s="40"/>
      <x:c r="F2478" s="40"/>
      <x:c r="G2478" s="40"/>
      <x:c r="H2478" s="40"/>
    </x:row>
    <x:row r="2479">
      <x:c r="B2479" s="40"/>
      <x:c r="C2479" s="40"/>
      <x:c r="D2479" s="40"/>
      <x:c r="E2479" s="40"/>
      <x:c r="F2479" s="40"/>
      <x:c r="G2479" s="40"/>
      <x:c r="H2479" s="40"/>
    </x:row>
    <x:row r="2480">
      <x:c r="B2480" s="40"/>
      <x:c r="C2480" s="40"/>
      <x:c r="D2480" s="40"/>
      <x:c r="E2480" s="40"/>
      <x:c r="F2480" s="40"/>
      <x:c r="G2480" s="40"/>
      <x:c r="H2480" s="40"/>
    </x:row>
    <x:row r="2481">
      <x:c r="B2481" s="40"/>
      <x:c r="C2481" s="40"/>
      <x:c r="D2481" s="40"/>
      <x:c r="E2481" s="40"/>
      <x:c r="F2481" s="40"/>
      <x:c r="G2481" s="40"/>
      <x:c r="H2481" s="40"/>
    </x:row>
    <x:row r="2482">
      <x:c r="B2482" s="40"/>
      <x:c r="C2482" s="40"/>
      <x:c r="D2482" s="40"/>
      <x:c r="E2482" s="40"/>
      <x:c r="F2482" s="40"/>
      <x:c r="G2482" s="40"/>
      <x:c r="H2482" s="40"/>
    </x:row>
    <x:row r="2483">
      <x:c r="B2483" s="40"/>
      <x:c r="C2483" s="40"/>
      <x:c r="D2483" s="40"/>
      <x:c r="E2483" s="40"/>
      <x:c r="F2483" s="40"/>
      <x:c r="G2483" s="40"/>
      <x:c r="H2483" s="40"/>
    </x:row>
    <x:row r="2484">
      <x:c r="B2484" s="40"/>
      <x:c r="C2484" s="40"/>
      <x:c r="D2484" s="40"/>
      <x:c r="E2484" s="40"/>
      <x:c r="F2484" s="40"/>
      <x:c r="G2484" s="40"/>
      <x:c r="H2484" s="40"/>
    </x:row>
    <x:row r="2485">
      <x:c r="B2485" s="40"/>
      <x:c r="C2485" s="40"/>
      <x:c r="D2485" s="40"/>
      <x:c r="E2485" s="40"/>
      <x:c r="F2485" s="40"/>
      <x:c r="G2485" s="40"/>
      <x:c r="H2485" s="40"/>
    </x:row>
    <x:row r="2486">
      <x:c r="B2486" s="40"/>
      <x:c r="C2486" s="40"/>
      <x:c r="D2486" s="40"/>
      <x:c r="E2486" s="40"/>
      <x:c r="F2486" s="40"/>
      <x:c r="G2486" s="40"/>
      <x:c r="H2486" s="40"/>
    </x:row>
    <x:row r="2487">
      <x:c r="B2487" s="40"/>
      <x:c r="C2487" s="40"/>
      <x:c r="D2487" s="40"/>
      <x:c r="E2487" s="40"/>
      <x:c r="F2487" s="40"/>
      <x:c r="G2487" s="40"/>
      <x:c r="H2487" s="40"/>
    </x:row>
    <x:row r="2488">
      <x:c r="B2488" s="40"/>
      <x:c r="C2488" s="40"/>
      <x:c r="D2488" s="40"/>
      <x:c r="E2488" s="40"/>
      <x:c r="F2488" s="40"/>
      <x:c r="G2488" s="40"/>
      <x:c r="H2488" s="40"/>
    </x:row>
    <x:row r="2489">
      <x:c r="B2489" s="40"/>
      <x:c r="C2489" s="40"/>
      <x:c r="D2489" s="40"/>
      <x:c r="E2489" s="40"/>
      <x:c r="F2489" s="40"/>
      <x:c r="G2489" s="40"/>
      <x:c r="H2489" s="40"/>
    </x:row>
    <x:row r="2490">
      <x:c r="B2490" s="40"/>
      <x:c r="C2490" s="40"/>
      <x:c r="D2490" s="40"/>
      <x:c r="E2490" s="40"/>
      <x:c r="F2490" s="40"/>
      <x:c r="G2490" s="40"/>
      <x:c r="H2490" s="40"/>
    </x:row>
    <x:row r="2491">
      <x:c r="B2491" s="40"/>
      <x:c r="C2491" s="40"/>
      <x:c r="D2491" s="40"/>
      <x:c r="E2491" s="40"/>
      <x:c r="F2491" s="40"/>
      <x:c r="G2491" s="40"/>
      <x:c r="H2491" s="40"/>
    </x:row>
    <x:row r="2492">
      <x:c r="B2492" s="40"/>
      <x:c r="C2492" s="40"/>
      <x:c r="D2492" s="40"/>
      <x:c r="E2492" s="40"/>
      <x:c r="F2492" s="40"/>
      <x:c r="G2492" s="40"/>
      <x:c r="H2492" s="40"/>
    </x:row>
    <x:row r="2493">
      <x:c r="B2493" s="40"/>
      <x:c r="C2493" s="40"/>
      <x:c r="D2493" s="40"/>
      <x:c r="E2493" s="40"/>
      <x:c r="F2493" s="40"/>
      <x:c r="G2493" s="40"/>
      <x:c r="H2493" s="40"/>
    </x:row>
    <x:row r="2494">
      <x:c r="B2494" s="40"/>
      <x:c r="C2494" s="40"/>
      <x:c r="D2494" s="40"/>
      <x:c r="E2494" s="40"/>
      <x:c r="F2494" s="40"/>
      <x:c r="G2494" s="40"/>
      <x:c r="H2494" s="40"/>
    </x:row>
    <x:row r="2495">
      <x:c r="B2495" s="40"/>
      <x:c r="C2495" s="40"/>
      <x:c r="D2495" s="40"/>
      <x:c r="E2495" s="40"/>
      <x:c r="F2495" s="40"/>
      <x:c r="G2495" s="40"/>
      <x:c r="H2495" s="40"/>
    </x:row>
    <x:row r="2496">
      <x:c r="B2496" s="40"/>
      <x:c r="C2496" s="40"/>
      <x:c r="D2496" s="40"/>
      <x:c r="E2496" s="40"/>
      <x:c r="F2496" s="40"/>
      <x:c r="G2496" s="40"/>
      <x:c r="H2496" s="40"/>
    </x:row>
    <x:row r="2497">
      <x:c r="B2497" s="40"/>
      <x:c r="C2497" s="40"/>
      <x:c r="D2497" s="40"/>
      <x:c r="E2497" s="40"/>
      <x:c r="F2497" s="40"/>
      <x:c r="G2497" s="40"/>
      <x:c r="H2497" s="40"/>
    </x:row>
    <x:row r="2498">
      <x:c r="B2498" s="40"/>
      <x:c r="C2498" s="40"/>
      <x:c r="D2498" s="40"/>
      <x:c r="E2498" s="40"/>
      <x:c r="F2498" s="40"/>
      <x:c r="G2498" s="40"/>
      <x:c r="H2498" s="40"/>
    </x:row>
    <x:row r="2499">
      <x:c r="B2499" s="40"/>
      <x:c r="C2499" s="40"/>
      <x:c r="D2499" s="40"/>
      <x:c r="E2499" s="40"/>
      <x:c r="F2499" s="40"/>
      <x:c r="G2499" s="40"/>
      <x:c r="H2499" s="40"/>
    </x:row>
    <x:row r="2500">
      <x:c r="B2500" s="40"/>
      <x:c r="C2500" s="40"/>
      <x:c r="D2500" s="40"/>
      <x:c r="E2500" s="40"/>
      <x:c r="F2500" s="40"/>
      <x:c r="G2500" s="40"/>
      <x:c r="H2500" s="40"/>
    </x:row>
    <x:row r="2501">
      <x:c r="B2501" s="40"/>
      <x:c r="C2501" s="40"/>
      <x:c r="D2501" s="40"/>
      <x:c r="E2501" s="40"/>
      <x:c r="F2501" s="40"/>
      <x:c r="G2501" s="40"/>
      <x:c r="H2501" s="40"/>
    </x:row>
    <x:row r="2502">
      <x:c r="B2502" s="40"/>
      <x:c r="C2502" s="40"/>
      <x:c r="D2502" s="40"/>
      <x:c r="E2502" s="40"/>
      <x:c r="F2502" s="40"/>
      <x:c r="G2502" s="40"/>
      <x:c r="H2502" s="40"/>
    </x:row>
    <x:row r="2503">
      <x:c r="B2503" s="40"/>
      <x:c r="C2503" s="40"/>
      <x:c r="D2503" s="40"/>
      <x:c r="E2503" s="40"/>
      <x:c r="F2503" s="40"/>
      <x:c r="G2503" s="40"/>
      <x:c r="H2503" s="40"/>
    </x:row>
    <x:row r="2504">
      <x:c r="B2504" s="40"/>
      <x:c r="C2504" s="40"/>
      <x:c r="D2504" s="40"/>
      <x:c r="E2504" s="40"/>
      <x:c r="F2504" s="40"/>
      <x:c r="G2504" s="40"/>
      <x:c r="H2504" s="40"/>
    </x:row>
    <x:row r="2505">
      <x:c r="B2505" s="40"/>
      <x:c r="C2505" s="40"/>
      <x:c r="D2505" s="40"/>
      <x:c r="E2505" s="40"/>
      <x:c r="F2505" s="40"/>
      <x:c r="G2505" s="40"/>
      <x:c r="H2505" s="40"/>
    </x:row>
    <x:row r="2506">
      <x:c r="B2506" s="40"/>
      <x:c r="C2506" s="40"/>
      <x:c r="D2506" s="40"/>
      <x:c r="E2506" s="40"/>
      <x:c r="F2506" s="40"/>
      <x:c r="G2506" s="40"/>
      <x:c r="H2506" s="40"/>
    </x:row>
    <x:row r="2507">
      <x:c r="B2507" s="40"/>
      <x:c r="C2507" s="40"/>
      <x:c r="D2507" s="40"/>
      <x:c r="E2507" s="40"/>
      <x:c r="F2507" s="40"/>
      <x:c r="G2507" s="40"/>
      <x:c r="H2507" s="40"/>
    </x:row>
    <x:row r="2508">
      <x:c r="B2508" s="40"/>
      <x:c r="C2508" s="40"/>
      <x:c r="D2508" s="40"/>
      <x:c r="E2508" s="40"/>
      <x:c r="F2508" s="40"/>
      <x:c r="G2508" s="40"/>
      <x:c r="H2508" s="40"/>
    </x:row>
    <x:row r="2509">
      <x:c r="B2509" s="40"/>
      <x:c r="C2509" s="40"/>
      <x:c r="D2509" s="40"/>
      <x:c r="E2509" s="40"/>
      <x:c r="F2509" s="40"/>
      <x:c r="G2509" s="40"/>
      <x:c r="H2509" s="40"/>
    </x:row>
    <x:row r="2510">
      <x:c r="B2510" s="40"/>
      <x:c r="C2510" s="40"/>
      <x:c r="D2510" s="40"/>
      <x:c r="E2510" s="40"/>
      <x:c r="F2510" s="40"/>
      <x:c r="G2510" s="40"/>
      <x:c r="H2510" s="40"/>
    </x:row>
    <x:row r="2511">
      <x:c r="B2511" s="40"/>
      <x:c r="C2511" s="40"/>
      <x:c r="D2511" s="40"/>
      <x:c r="E2511" s="40"/>
      <x:c r="F2511" s="40"/>
      <x:c r="G2511" s="40"/>
      <x:c r="H2511" s="40"/>
    </x:row>
    <x:row r="2512">
      <x:c r="B2512" s="40"/>
      <x:c r="C2512" s="40"/>
      <x:c r="D2512" s="40"/>
      <x:c r="E2512" s="40"/>
      <x:c r="F2512" s="40"/>
      <x:c r="G2512" s="40"/>
      <x:c r="H2512" s="40"/>
    </x:row>
    <x:row r="2513">
      <x:c r="B2513" s="40"/>
      <x:c r="C2513" s="40"/>
      <x:c r="D2513" s="40"/>
      <x:c r="E2513" s="40"/>
      <x:c r="F2513" s="40"/>
      <x:c r="G2513" s="40"/>
      <x:c r="H2513" s="40"/>
    </x:row>
    <x:row r="2514">
      <x:c r="B2514" s="40"/>
      <x:c r="C2514" s="40"/>
      <x:c r="D2514" s="40"/>
      <x:c r="E2514" s="40"/>
      <x:c r="F2514" s="40"/>
      <x:c r="G2514" s="40"/>
      <x:c r="H2514" s="40"/>
    </x:row>
    <x:row r="2515">
      <x:c r="B2515" s="40"/>
      <x:c r="C2515" s="40"/>
      <x:c r="D2515" s="40"/>
      <x:c r="E2515" s="40"/>
      <x:c r="F2515" s="40"/>
      <x:c r="G2515" s="40"/>
      <x:c r="H2515" s="40"/>
    </x:row>
    <x:row r="2516">
      <x:c r="B2516" s="40"/>
      <x:c r="C2516" s="40"/>
      <x:c r="D2516" s="40"/>
      <x:c r="E2516" s="40"/>
      <x:c r="F2516" s="40"/>
      <x:c r="G2516" s="40"/>
      <x:c r="H2516" s="40"/>
    </x:row>
    <x:row r="2517">
      <x:c r="B2517" s="40"/>
      <x:c r="C2517" s="40"/>
      <x:c r="D2517" s="40"/>
      <x:c r="E2517" s="40"/>
      <x:c r="F2517" s="40"/>
      <x:c r="G2517" s="40"/>
      <x:c r="H2517" s="40"/>
    </x:row>
    <x:row r="2518">
      <x:c r="B2518" s="40"/>
      <x:c r="C2518" s="40"/>
      <x:c r="D2518" s="40"/>
      <x:c r="E2518" s="40"/>
      <x:c r="F2518" s="40"/>
      <x:c r="G2518" s="40"/>
      <x:c r="H2518" s="40"/>
    </x:row>
    <x:row r="2519">
      <x:c r="B2519" s="40"/>
      <x:c r="C2519" s="40"/>
      <x:c r="D2519" s="40"/>
      <x:c r="E2519" s="40"/>
      <x:c r="F2519" s="40"/>
      <x:c r="G2519" s="40"/>
      <x:c r="H2519" s="40"/>
    </x:row>
    <x:row r="2520">
      <x:c r="B2520" s="40"/>
      <x:c r="C2520" s="40"/>
      <x:c r="D2520" s="40"/>
      <x:c r="E2520" s="40"/>
      <x:c r="F2520" s="40"/>
      <x:c r="G2520" s="40"/>
      <x:c r="H2520" s="40"/>
    </x:row>
    <x:row r="2521">
      <x:c r="B2521" s="40"/>
      <x:c r="C2521" s="40"/>
      <x:c r="D2521" s="40"/>
      <x:c r="E2521" s="40"/>
      <x:c r="F2521" s="40"/>
      <x:c r="G2521" s="40"/>
      <x:c r="H2521" s="40"/>
    </x:row>
    <x:row r="2522">
      <x:c r="B2522" s="40"/>
      <x:c r="C2522" s="40"/>
      <x:c r="D2522" s="40"/>
      <x:c r="E2522" s="40"/>
      <x:c r="F2522" s="40"/>
      <x:c r="G2522" s="40"/>
      <x:c r="H2522" s="40"/>
    </x:row>
    <x:row r="2523">
      <x:c r="B2523" s="40"/>
      <x:c r="C2523" s="40"/>
      <x:c r="D2523" s="40"/>
      <x:c r="E2523" s="40"/>
      <x:c r="F2523" s="40"/>
      <x:c r="G2523" s="40"/>
      <x:c r="H2523" s="40"/>
    </x:row>
    <x:row r="2524">
      <x:c r="B2524" s="40"/>
      <x:c r="C2524" s="40"/>
      <x:c r="D2524" s="40"/>
      <x:c r="E2524" s="40"/>
      <x:c r="F2524" s="40"/>
      <x:c r="G2524" s="40"/>
      <x:c r="H2524" s="40"/>
    </x:row>
    <x:row r="2525">
      <x:c r="B2525" s="40"/>
      <x:c r="C2525" s="40"/>
      <x:c r="D2525" s="40"/>
      <x:c r="E2525" s="40"/>
      <x:c r="F2525" s="40"/>
      <x:c r="G2525" s="40"/>
      <x:c r="H2525" s="40"/>
    </x:row>
    <x:row r="2526">
      <x:c r="B2526" s="40"/>
      <x:c r="C2526" s="40"/>
      <x:c r="D2526" s="40"/>
      <x:c r="E2526" s="40"/>
      <x:c r="F2526" s="40"/>
      <x:c r="G2526" s="40"/>
      <x:c r="H2526" s="40"/>
    </x:row>
    <x:row r="2527">
      <x:c r="B2527" s="40"/>
      <x:c r="C2527" s="40"/>
      <x:c r="D2527" s="40"/>
      <x:c r="E2527" s="40"/>
      <x:c r="F2527" s="40"/>
      <x:c r="G2527" s="40"/>
      <x:c r="H2527" s="40"/>
    </x:row>
    <x:row r="2528">
      <x:c r="B2528" s="40"/>
      <x:c r="C2528" s="40"/>
      <x:c r="D2528" s="40"/>
      <x:c r="E2528" s="40"/>
      <x:c r="F2528" s="40"/>
      <x:c r="G2528" s="40"/>
      <x:c r="H2528" s="40"/>
    </x:row>
    <x:row r="2529">
      <x:c r="B2529" s="40"/>
      <x:c r="C2529" s="40"/>
      <x:c r="D2529" s="40"/>
      <x:c r="E2529" s="40"/>
      <x:c r="F2529" s="40"/>
      <x:c r="G2529" s="40"/>
      <x:c r="H2529" s="40"/>
    </x:row>
    <x:row r="2530">
      <x:c r="B2530" s="40"/>
      <x:c r="C2530" s="40"/>
      <x:c r="D2530" s="40"/>
      <x:c r="E2530" s="40"/>
      <x:c r="F2530" s="40"/>
      <x:c r="G2530" s="40"/>
      <x:c r="H2530" s="40"/>
    </x:row>
    <x:row r="2531">
      <x:c r="B2531" s="40"/>
      <x:c r="C2531" s="40"/>
      <x:c r="D2531" s="40"/>
      <x:c r="E2531" s="40"/>
      <x:c r="F2531" s="40"/>
      <x:c r="G2531" s="40"/>
      <x:c r="H2531" s="40"/>
    </x:row>
    <x:row r="2532">
      <x:c r="B2532" s="40"/>
      <x:c r="C2532" s="40"/>
      <x:c r="D2532" s="40"/>
      <x:c r="E2532" s="40"/>
      <x:c r="F2532" s="40"/>
      <x:c r="G2532" s="40"/>
      <x:c r="H2532" s="40"/>
    </x:row>
    <x:row r="2533">
      <x:c r="B2533" s="40"/>
      <x:c r="C2533" s="40"/>
      <x:c r="D2533" s="40"/>
      <x:c r="E2533" s="40"/>
      <x:c r="F2533" s="40"/>
      <x:c r="G2533" s="40"/>
      <x:c r="H2533" s="40"/>
    </x:row>
    <x:row r="2534">
      <x:c r="B2534" s="40"/>
      <x:c r="C2534" s="40"/>
      <x:c r="D2534" s="40"/>
      <x:c r="E2534" s="40"/>
      <x:c r="F2534" s="40"/>
      <x:c r="G2534" s="40"/>
      <x:c r="H2534" s="40"/>
    </x:row>
    <x:row r="2535">
      <x:c r="B2535" s="40"/>
      <x:c r="C2535" s="40"/>
      <x:c r="D2535" s="40"/>
      <x:c r="E2535" s="40"/>
      <x:c r="F2535" s="40"/>
      <x:c r="G2535" s="40"/>
      <x:c r="H2535" s="40"/>
    </x:row>
    <x:row r="2536">
      <x:c r="B2536" s="40"/>
      <x:c r="C2536" s="40"/>
      <x:c r="D2536" s="40"/>
      <x:c r="E2536" s="40"/>
      <x:c r="F2536" s="40"/>
      <x:c r="G2536" s="40"/>
      <x:c r="H2536" s="40"/>
    </x:row>
    <x:row r="2537">
      <x:c r="B2537" s="40"/>
      <x:c r="C2537" s="40"/>
      <x:c r="D2537" s="40"/>
      <x:c r="E2537" s="40"/>
      <x:c r="F2537" s="40"/>
      <x:c r="G2537" s="40"/>
      <x:c r="H2537" s="40"/>
    </x:row>
    <x:row r="2538">
      <x:c r="B2538" s="40"/>
      <x:c r="C2538" s="40"/>
      <x:c r="D2538" s="40"/>
      <x:c r="E2538" s="40"/>
      <x:c r="F2538" s="40"/>
      <x:c r="G2538" s="40"/>
      <x:c r="H2538" s="40"/>
    </x:row>
    <x:row r="2539">
      <x:c r="B2539" s="40"/>
      <x:c r="C2539" s="40"/>
      <x:c r="D2539" s="40"/>
      <x:c r="E2539" s="40"/>
      <x:c r="F2539" s="40"/>
      <x:c r="G2539" s="40"/>
      <x:c r="H2539" s="40"/>
    </x:row>
    <x:row r="2540">
      <x:c r="B2540" s="40"/>
      <x:c r="C2540" s="40"/>
      <x:c r="D2540" s="40"/>
      <x:c r="E2540" s="40"/>
      <x:c r="F2540" s="40"/>
      <x:c r="G2540" s="40"/>
      <x:c r="H2540" s="40"/>
    </x:row>
    <x:row r="2541">
      <x:c r="B2541" s="40"/>
      <x:c r="C2541" s="40"/>
      <x:c r="D2541" s="40"/>
      <x:c r="E2541" s="40"/>
      <x:c r="F2541" s="40"/>
      <x:c r="G2541" s="40"/>
      <x:c r="H2541" s="40"/>
    </x:row>
    <x:row r="2542">
      <x:c r="B2542" s="40"/>
      <x:c r="C2542" s="40"/>
      <x:c r="D2542" s="40"/>
      <x:c r="E2542" s="40"/>
      <x:c r="F2542" s="40"/>
      <x:c r="G2542" s="40"/>
      <x:c r="H2542" s="40"/>
    </x:row>
    <x:row r="2543">
      <x:c r="B2543" s="40"/>
      <x:c r="C2543" s="40"/>
      <x:c r="D2543" s="40"/>
      <x:c r="E2543" s="40"/>
      <x:c r="F2543" s="40"/>
      <x:c r="G2543" s="40"/>
      <x:c r="H2543" s="40"/>
    </x:row>
    <x:row r="2544">
      <x:c r="B2544" s="40"/>
      <x:c r="C2544" s="40"/>
      <x:c r="D2544" s="40"/>
      <x:c r="E2544" s="40"/>
      <x:c r="F2544" s="40"/>
      <x:c r="G2544" s="40"/>
      <x:c r="H2544" s="40"/>
    </x:row>
    <x:row r="2545">
      <x:c r="B2545" s="40"/>
      <x:c r="C2545" s="40"/>
      <x:c r="D2545" s="40"/>
      <x:c r="E2545" s="40"/>
      <x:c r="F2545" s="40"/>
      <x:c r="G2545" s="40"/>
      <x:c r="H2545" s="40"/>
    </x:row>
    <x:row r="2546">
      <x:c r="B2546" s="40"/>
      <x:c r="C2546" s="40"/>
      <x:c r="D2546" s="40"/>
      <x:c r="E2546" s="40"/>
      <x:c r="F2546" s="40"/>
      <x:c r="G2546" s="40"/>
      <x:c r="H2546" s="40"/>
    </x:row>
    <x:row r="2547">
      <x:c r="B2547" s="40"/>
      <x:c r="C2547" s="40"/>
      <x:c r="D2547" s="40"/>
      <x:c r="E2547" s="40"/>
      <x:c r="F2547" s="40"/>
      <x:c r="G2547" s="40"/>
      <x:c r="H2547" s="40"/>
    </x:row>
    <x:row r="2548">
      <x:c r="B2548" s="40"/>
      <x:c r="C2548" s="40"/>
      <x:c r="D2548" s="40"/>
      <x:c r="E2548" s="40"/>
      <x:c r="F2548" s="40"/>
      <x:c r="G2548" s="40"/>
      <x:c r="H2548" s="40"/>
    </x:row>
    <x:row r="2549">
      <x:c r="B2549" s="40"/>
      <x:c r="C2549" s="40"/>
      <x:c r="D2549" s="40"/>
      <x:c r="E2549" s="40"/>
      <x:c r="F2549" s="40"/>
      <x:c r="G2549" s="40"/>
      <x:c r="H2549" s="40"/>
    </x:row>
  </x:sheetData>
  <x:mergeCells>
    <x:mergeCell ref="A1:M1"/>
    <x:mergeCell ref="A13:G13"/>
    <x:mergeCell ref="A23:O23"/>
    <x:mergeCell ref="A33:G33"/>
    <x:mergeCell ref="A40:G40"/>
    <x:mergeCell ref="A48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22" hidden="0" customWidth="1"/>
    <x:col min="4" max="4" width="30" hidden="0" customWidth="1"/>
  </x:cols>
  <x:sheetData>
    <x:row r="1" ht="28" customHeight="1">
      <x:c r="A1" s="98" t="str">
        <x:v>RISK ANALYTICS | VOLATILITY, RISK CONTRIBUTION, VaR &amp; EXPECTED SHORTFALL</x:v>
      </x:c>
      <x:c r="B1" s="98"/>
      <x:c r="C1" s="98"/>
      <x:c r="D1" s="98"/>
      <x:c r="E1" s="98"/>
      <x:c r="F1" s="98"/>
      <x:c r="G1" s="98"/>
      <x:c r="H1" s="98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16" t="str">
        <x:v>Metric</x:v>
      </x:c>
      <x:c r="B3" s="16" t="str">
        <x:v>Value</x:v>
      </x:c>
      <x:c r="C3" s="16" t="str">
        <x:v>Definition</x:v>
      </x:c>
      <x:c r="D3" s="16" t="str">
        <x:v>Use</x:v>
      </x:c>
      <x:c r="E3" s="81" t="str"/>
      <x:c r="F3" s="81" t="str"/>
      <x:c r="G3" s="81" t="str"/>
      <x:c r="H3" s="81" t="str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Expected return</x:v>
      </x:c>
      <x:c r="B4" s="118" t="n">
        <x:v>0.07365173076923077</x:v>
      </x:c>
      <x:c r="C4" s="81" t="str">
        <x:v>Historical mean of current mix</x:v>
      </x:c>
      <x:c r="D4" s="81" t="str">
        <x:v>Return anchor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Volatility</x:v>
      </x:c>
      <x:c r="B5" s="118" t="n">
        <x:v>0.08234237161459089</x:v>
      </x:c>
      <x:c r="C5" s="81" t="str">
        <x:v>Annual standard deviation</x:v>
      </x:c>
      <x:c r="D5" s="81" t="str">
        <x:v>Risk budget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Sharpe ratio</x:v>
      </x:c>
      <x:c r="B6" s="119" t="n">
        <x:v>0.6582016470094101</x:v>
      </x:c>
      <x:c r="C6" s="81" t="str">
        <x:v>(Return - cash) / volatility</x:v>
      </x:c>
      <x:c r="D6" s="81" t="str">
        <x:v>Risk-adjusted comparison</x:v>
      </x:c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5% historical VaR</x:v>
      </x:c>
      <x:c r="B7" s="118" t="n">
        <x:v>-0.08863625</x:v>
      </x:c>
      <x:c r="C7" s="81" t="str">
        <x:v>5th percentile annual loss/return</x:v>
      </x:c>
      <x:c r="D7" s="81" t="str">
        <x:v>Downside estimate</x:v>
      </x:c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5% Expected Shortfall</x:v>
      </x:c>
      <x:c r="B8" s="118" t="n">
        <x:v>-0.12143000000000001</x:v>
      </x:c>
      <x:c r="C8" s="81" t="str">
        <x:v>Average result in worst 5% observations</x:v>
      </x:c>
      <x:c r="D8" s="81" t="str">
        <x:v>Tail risk</x:v>
      </x:c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Worst historical year</x:v>
      </x:c>
      <x:c r="B9" s="118" t="n">
        <x:v>-0.13320000000000004</x:v>
      </x:c>
      <x:c r="C9" s="81" t="str">
        <x:v>Lowest annual portfolio return</x:v>
      </x:c>
      <x:c r="D9" s="81" t="str">
        <x:v>Stress reference</x:v>
      </x:c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Best historical year</x:v>
      </x:c>
      <x:c r="B10" s="118" t="n">
        <x:v>0.220505</x:v>
      </x:c>
      <x:c r="C10" s="81" t="str">
        <x:v>Highest annual portfolio return</x:v>
      </x:c>
      <x:c r="D10" s="81" t="str">
        <x:v>Upside reference</x:v>
      </x:c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Weight check</x:v>
      </x:c>
      <x:c r="B11" s="118" t="n">
        <x:v>1</x:v>
      </x:c>
      <x:c r="C11" s="81" t="str">
        <x:v>Should equal 100%</x:v>
      </x:c>
      <x:c r="D11" s="81" t="str">
        <x:v>Model integrity</x:v>
      </x:c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 ht="22" customHeight="1">
      <x:c r="A14" s="99" t="str">
        <x:v>RISK CONTRIBUTION</x:v>
      </x:c>
      <x:c r="B14" s="99"/>
      <x:c r="C14" s="99"/>
      <x:c r="D14" s="99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16" t="str">
        <x:v>Asset</x:v>
      </x:c>
      <x:c r="B15" s="16" t="str">
        <x:v>Current Wt</x:v>
      </x:c>
      <x:c r="C15" s="16" t="str">
        <x:v>Risk Contribution</x:v>
      </x:c>
      <x:c r="D15" s="16" t="str">
        <x:v>Share of Total Risk</x:v>
      </x:c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S&amp;P 500</x:v>
      </x:c>
      <x:c r="B16" s="118" t="n">
        <x:v>0.3</x:v>
      </x:c>
      <x:c r="C16" s="118" t="n">
        <x:v>0.5889468225780099</x:v>
      </x:c>
      <x:c r="D16" s="118" t="n">
        <x:v>0.5889468225780099</x:v>
      </x:c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US Small Cap</x:v>
      </x:c>
      <x:c r="B17" s="118" t="n">
        <x:v>0.1</x:v>
      </x:c>
      <x:c r="C17" s="118" t="n">
        <x:v>0.26650619393527325</x:v>
      </x:c>
      <x:c r="D17" s="118" t="n">
        <x:v>0.26650619393527325</x:v>
      </x:c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US 10Y T Bond</x:v>
      </x:c>
      <x:c r="B18" s="118" t="n">
        <x:v>0.15</x:v>
      </x:c>
      <x:c r="C18" s="118" t="n">
        <x:v>-0.020934127250932032</x:v>
      </x:c>
      <x:c r="D18" s="118" t="n">
        <x:v>-0.020934127250932032</x:v>
      </x:c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Baa Corporate Bond</x:v>
      </x:c>
      <x:c r="B19" s="118" t="n">
        <x:v>0.1</x:v>
      </x:c>
      <x:c r="C19" s="118" t="n">
        <x:v>0.05640438028190943</x:v>
      </x:c>
      <x:c r="D19" s="118" t="n">
        <x:v>0.05640438028190943</x:v>
      </x:c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US Real Estate</x:v>
      </x:c>
      <x:c r="B20" s="118" t="n">
        <x:v>0.1</x:v>
      </x:c>
      <x:c r="C20" s="118" t="n">
        <x:v>0.021788867368882966</x:v>
      </x:c>
      <x:c r="D20" s="118" t="n">
        <x:v>0.021788867368882966</x:v>
      </x:c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Gold</x:v>
      </x:c>
      <x:c r="B21" s="118" t="n">
        <x:v>0.1</x:v>
      </x:c>
      <x:c r="C21" s="118" t="n">
        <x:v>0.0872878630868565</x:v>
      </x:c>
      <x:c r="D21" s="118" t="n">
        <x:v>0.0872878630868565</x:v>
      </x:c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Cash</x:v>
      </x:c>
      <x:c r="B22" s="118" t="n">
        <x:v>0.15</x:v>
      </x:c>
      <x:c r="C22" s="118" t="n">
        <x:v>0</x:v>
      </x:c>
      <x:c r="D22" s="118" t="n">
        <x:v>0</x:v>
      </x:c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 ht="22" customHeight="1">
      <x:c r="A25" s="99" t="str">
        <x:v>MODEL NOTES</x:v>
      </x:c>
      <x:c r="B25" s="99"/>
      <x:c r="C25" s="99"/>
      <x:c r="D25" s="99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Tail measures</x:v>
      </x:c>
      <x:c r="B26" s="81" t="str">
        <x:v>Historical annual VaR/ES are sample statistics, not daily trading limits.</x:v>
      </x:c>
      <x:c r="C26" s="81" t="str"/>
      <x:c r="D26" s="81" t="str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Diversification</x:v>
      </x:c>
      <x:c r="B27" s="81" t="str">
        <x:v>Risk contribution is driven by covariance as well as position size.</x:v>
      </x:c>
      <x:c r="C27" s="81" t="str"/>
      <x:c r="D27" s="81" t="str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Correlation</x:v>
      </x:c>
      <x:c r="B28" s="81" t="str">
        <x:v>Correlations can change materially in crises.</x:v>
      </x:c>
      <x:c r="C28" s="81" t="str"/>
      <x:c r="D28" s="81" t="str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Next upgrade</x:v>
      </x:c>
      <x:c r="B29" s="81" t="str">
        <x:v>Replace annual returns with daily total returns and a rolling covariance matrix.</x:v>
      </x:c>
      <x:c r="C29" s="81" t="str"/>
      <x:c r="D29" s="81" t="str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</x:sheetData>
  <x:mergeCells>
    <x:mergeCell ref="A1:H1"/>
    <x:mergeCell ref="A14:D14"/>
    <x:mergeCell ref="A25:D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PERFORMANCE DIAGNOSTICS | BENCHMARK, TRACKING &amp; CAPTURE</x:v>
      </x:c>
      <x:c r="B1" s="4"/>
      <x:c r="C1" s="4"/>
      <x:c r="D1" s="4"/>
      <x:c r="E1" s="4"/>
      <x:c r="F1" s="4"/>
    </x:row>
    <x:row r="3">
      <x:c r="A3" s="16" t="str">
        <x:v>Metric</x:v>
      </x:c>
      <x:c r="B3" s="16" t="str">
        <x:v>Value</x:v>
      </x:c>
    </x:row>
    <x:row r="4">
      <x:c r="A4" t="str">
        <x:v>Tracking error</x:v>
      </x:c>
      <x:c r="B4" s="40" t="n">
        <x:v>0.12898047702835316</x:v>
      </x:c>
    </x:row>
    <x:row r="5">
      <x:c r="A5" t="str">
        <x:v>Information ratio</x:v>
      </x:c>
      <x:c r="B5" t="n">
        <x:v>-0.19020469510513133</x:v>
      </x:c>
    </x:row>
    <x:row r="6">
      <x:c r="A6" t="str">
        <x:v>Correlation vs S&amp;P</x:v>
      </x:c>
      <x:c r="B6" s="50" t="n">
        <x:v>0.828659939920872</x:v>
      </x:c>
    </x:row>
    <x:row r="7">
      <x:c r="A7" t="str">
        <x:v>Beta vs S&amp;P</x:v>
      </x:c>
      <x:c r="B7" s="50" t="n">
        <x:v>0.304935631389433</x:v>
      </x:c>
    </x:row>
    <x:row r="8">
      <x:c r="A8" t="str">
        <x:v>R-squared</x:v>
      </x:c>
      <x:c r="B8" s="40" t="n">
        <x:v>0.6866772960296631</x:v>
      </x:c>
    </x:row>
    <x:row r="9">
      <x:c r="A9" t="str">
        <x:v>Upside capture</x:v>
      </x:c>
      <x:c r="B9" s="40" t="n">
        <x:v>0.5604300952598255</x:v>
      </x:c>
    </x:row>
    <x:row r="10">
      <x:c r="A10" t="str">
        <x:v>Downside capture</x:v>
      </x:c>
      <x:c r="B10" s="40" t="n">
        <x:v>0.1114684764433953</x:v>
      </x:c>
    </x:row>
    <x:row r="11">
      <x:c r="A11" t="str">
        <x:v>Same-direction years</x:v>
      </x:c>
      <x:c r="B11" s="40" t="n">
        <x:v>0.9230769230769231</x:v>
      </x:c>
    </x:row>
    <x:row r="14" ht="22" customHeight="1">
      <x:c r="A14" s="28" t="str">
        <x:v>WHY THIS MATTERS</x:v>
      </x:c>
      <x:c r="B14" s="28"/>
      <x:c r="C14" s="28"/>
      <x:c r="D14" s="28"/>
      <x:c r="E14" s="28"/>
      <x:c r="F14" s="28"/>
    </x:row>
    <x:row r="15">
      <x:c r="A15" s="32" t="str">
        <x:v>Tracking error</x:v>
      </x:c>
      <x:c r="B15" s="32" t="str">
        <x:v>How differently the strategy behaves versus the S&amp;P.</x:v>
      </x:c>
      <x:c r="C15" s="32" t="str"/>
      <x:c r="D15" s="32" t="str"/>
      <x:c r="E15" s="32" t="str"/>
      <x:c r="F15" s="32" t="str"/>
    </x:row>
    <x:row r="16">
      <x:c r="A16" s="32" t="str">
        <x:v>Information ratio</x:v>
      </x:c>
      <x:c r="B16" s="32" t="str">
        <x:v>Active return earned per unit of tracking risk.</x:v>
      </x:c>
      <x:c r="C16" s="32" t="str"/>
      <x:c r="D16" s="32" t="str"/>
      <x:c r="E16" s="32" t="str"/>
      <x:c r="F16" s="32" t="str"/>
    </x:row>
    <x:row r="17">
      <x:c r="A17" s="32" t="str">
        <x:v>Beta</x:v>
      </x:c>
      <x:c r="B17" s="32" t="str">
        <x:v>Sensitivity of the strategy to equity-market moves.</x:v>
      </x:c>
      <x:c r="C17" s="32" t="str"/>
      <x:c r="D17" s="32" t="str"/>
      <x:c r="E17" s="32" t="str"/>
      <x:c r="F17" s="32" t="str"/>
    </x:row>
    <x:row r="18">
      <x:c r="A18" s="32" t="str">
        <x:v>Upside capture</x:v>
      </x:c>
      <x:c r="B18" s="32" t="str">
        <x:v>How much of benchmark gains the strategy captured in positive years.</x:v>
      </x:c>
      <x:c r="C18" s="32" t="str"/>
      <x:c r="D18" s="32" t="str"/>
      <x:c r="E18" s="32" t="str"/>
      <x:c r="F18" s="32" t="str"/>
    </x:row>
    <x:row r="19">
      <x:c r="A19" s="32" t="str">
        <x:v>Downside capture</x:v>
      </x:c>
      <x:c r="B19" s="32" t="str">
        <x:v>How much of benchmark losses the strategy participated in negative years. Lower can be desirable, all else equal.</x:v>
      </x:c>
      <x:c r="C19" s="32" t="str"/>
      <x:c r="D19" s="32" t="str"/>
      <x:c r="E19" s="32" t="str"/>
      <x:c r="F19" s="32" t="str"/>
    </x:row>
    <x:row r="20">
      <x:c r="A20" s="32" t="str">
        <x:v>Same-direction years</x:v>
      </x:c>
      <x:c r="B20" s="32" t="str">
        <x:v>How often the strategy and S&amp;P had the same sign of annual return.</x:v>
      </x:c>
      <x:c r="C20" s="32" t="str"/>
      <x:c r="D20" s="32" t="str"/>
      <x:c r="E20" s="32" t="str"/>
      <x:c r="F20" s="32" t="str"/>
    </x:row>
    <x:row r="23" ht="22" customHeight="1">
      <x:c r="A23" s="28" t="str">
        <x:v>INTERVIEW POINT</x:v>
      </x:c>
      <x:c r="B23" s="28"/>
      <x:c r="C23" s="28"/>
      <x:c r="D23" s="28"/>
      <x:c r="E23" s="28"/>
      <x:c r="F23" s="28"/>
    </x:row>
    <x:row r="24">
      <x:c r="A24" s="32" t="str">
        <x:v>A sophisticated strategy should be judged on both absolute performance and how it behaves relative to the benchmark. Capture ratios make the downside-protection versus upside-participation trade-off explicit.</x:v>
      </x:c>
      <x:c r="B24" s="32"/>
      <x:c r="C24" s="32"/>
      <x:c r="D24" s="32"/>
      <x:c r="E24" s="32"/>
      <x:c r="F24" s="32"/>
    </x:row>
    <x:row r="25">
      <x:c r="A25" s="32"/>
      <x:c r="B25" s="32"/>
      <x:c r="C25" s="32"/>
      <x:c r="D25" s="32"/>
      <x:c r="E25" s="32"/>
      <x:c r="F25" s="32"/>
    </x:row>
    <x:row r="26">
      <x:c r="A26" s="32"/>
      <x:c r="B26" s="32"/>
      <x:c r="C26" s="32"/>
      <x:c r="D26" s="32"/>
      <x:c r="E26" s="32"/>
      <x:c r="F26" s="32"/>
    </x:row>
  </x:sheetData>
  <x:mergeCells>
    <x:mergeCell ref="A1:F1"/>
    <x:mergeCell ref="A14:F14"/>
    <x:mergeCell ref="A23:F23"/>
    <x:mergeCell ref="A24:F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 ht="28" customHeight="1">
      <x:c r="A1" s="4" t="str">
        <x:v>MONTE CARLO | 20,000 PATHS × 5 YEARS | PARAMETRIC CURRENT-PORTFOLIO MODEL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Input</x:v>
      </x:c>
      <x:c r="B3" s="16" t="str">
        <x:v>Value</x:v>
      </x:c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Expected annual return</x:v>
      </x:c>
      <x:c r="B4" s="74" t="n">
        <x:v>0.07365173076923077</x:v>
      </x:c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Annual volatility</x:v>
      </x:c>
      <x:c r="B5" s="74" t="n">
        <x:v>0.08234237161459089</x:v>
      </x:c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Paths</x:v>
      </x:c>
      <x:c r="B6" s="72" t="n">
        <x:v>20000</x:v>
      </x:c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Years per path</x:v>
      </x:c>
      <x:c r="B7" s="72" t="n">
        <x:v>5</x:v>
      </x:c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Random seed</x:v>
      </x:c>
      <x:c r="B8" s="72" t="n">
        <x:v>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 ht="22" customHeight="1">
      <x:c r="A10" s="28" t="str">
        <x:v>TERMINAL WEALTH DISTRIBUTION | STARTING AT £1</x:v>
      </x:c>
      <x:c r="B10" s="28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str">
        <x:v>1th percentile</x:v>
      </x:c>
      <x:c r="B11" s="75" t="n">
        <x:v>0.9282838270673925</x:v>
      </x:c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 t="str">
        <x:v>5th percentile</x:v>
      </x:c>
      <x:c r="B12" s="75" t="n">
        <x:v>1.05120402039921</x:v>
      </x:c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 t="str">
        <x:v>10th percentile</x:v>
      </x:c>
      <x:c r="B13" s="75" t="n">
        <x:v>1.1222027919969422</x:v>
      </x:c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 t="str">
        <x:v>25th percentile</x:v>
      </x:c>
      <x:c r="B14" s="75" t="n">
        <x:v>1.252464606995502</x:v>
      </x:c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 t="str">
        <x:v>50th percentile</x:v>
      </x:c>
      <x:c r="B15" s="75" t="n">
        <x:v>1.4096615551007852</x:v>
      </x:c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 t="str">
        <x:v>75th percentile</x:v>
      </x:c>
      <x:c r="B16" s="75" t="n">
        <x:v>1.5807238008232436</x:v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 t="str">
        <x:v>90th percentile</x:v>
      </x:c>
      <x:c r="B17" s="75" t="n">
        <x:v>1.7544540103154143</x:v>
      </x:c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 t="str">
        <x:v>95th percentile</x:v>
      </x:c>
      <x:c r="B18" s="75" t="n">
        <x:v>1.8569855285161414</x:v>
      </x:c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 t="str">
        <x:v>99th percentile</x:v>
      </x:c>
      <x:c r="B19" s="75" t="n">
        <x:v>2.072506469949087</x:v>
      </x:c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 ht="22" customHeight="1">
      <x:c r="A22" s="28" t="str">
        <x:v>ONE-YEAR TAIL OUTPUTS</x:v>
      </x:c>
      <x:c r="B22" s="28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 t="str">
        <x:v>1st percentile annual return</x:v>
      </x:c>
      <x:c r="B23" s="74" t="n">
        <x:v>-0.12071237377410504</x:v>
      </x:c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 t="str">
        <x:v>5th percentile annual return</x:v>
      </x:c>
      <x:c r="B24" s="74" t="n">
        <x:v>-0.06207878627631182</x:v>
      </x:c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 t="str">
        <x:v>Median annual return</x:v>
      </x:c>
      <x:c r="B25" s="74" t="n">
        <x:v>0.07411534631188979</x:v>
      </x:c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 t="str">
        <x:v>5% Expected Shortfall</x:v>
      </x:c>
      <x:c r="B26" s="74" t="n">
        <x:v>-0.09928280634569342</x:v>
      </x:c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  <x:mergeCell ref="A10:B10"/>
    <x:mergeCell ref="A22:B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</x:cols>
  <x:sheetData>
    <x:row r="1" ht="28" customHeight="1">
      <x:c r="A1" s="4" t="str">
        <x:v>FIXED INCOME | DURATION, DV01 &amp; CONVEXITY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Input</x:v>
      </x:c>
      <x:c r="B3" s="16" t="str">
        <x:v>Value</x:v>
      </x:c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Base bond price</x:v>
      </x:c>
      <x:c r="B4" s="75" t="n">
        <x:v>100</x:v>
      </x:c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Yield / market rate</x:v>
      </x:c>
      <x:c r="B5" s="84" t="n">
        <x:v>0.0467</x:v>
      </x:c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Modified duration</x:v>
      </x:c>
      <x:c r="B6" s="75" t="n">
        <x:v>8</x:v>
      </x:c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Convexity</x:v>
      </x:c>
      <x:c r="B7" s="75" t="n">
        <x:v>70</x:v>
      </x:c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Notional ($)</x:v>
      </x:c>
      <x:c r="B8" s="85" t="n">
        <x:v>10000000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22" customHeight="1">
      <x:c r="A11" s="28" t="str">
        <x:v>YIELD SHOCK GRID</x:v>
      </x:c>
      <x:c r="B11" s="28"/>
      <x:c r="C11" s="28"/>
      <x:c r="D11" s="28"/>
      <x:c r="E11" s="28"/>
      <x:c r="F11" s="28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16" t="str">
        <x:v>Yield Shock (bp)</x:v>
      </x:c>
      <x:c r="B12" s="16" t="str">
        <x:v>Approx Price Change</x:v>
      </x:c>
      <x:c r="C12" s="16" t="str">
        <x:v>Approx New Price</x:v>
      </x:c>
      <x:c r="D12" s="16" t="str">
        <x:v>$ P&amp;L on $10m</x:v>
      </x:c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 t="n">
        <x:v>-100</x:v>
      </x:c>
      <x:c r="B13" s="75" t="n">
        <x:f>-$B$4*$B$6*(-100/10000)+0.5*$B$4*$B$7*(-100/10000)^2</x:f>
        <x:v>8.35</x:v>
      </x:c>
      <x:c r="C13" s="75" t="n">
        <x:f>$B$4+B13</x:f>
        <x:v>108.35</x:v>
      </x:c>
      <x:c r="D13" s="86" t="n">
        <x:f>B13/$B$4*$B$8</x:f>
        <x:v>834999.9999999999</x:v>
      </x:c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 t="n">
        <x:v>-50</x:v>
      </x:c>
      <x:c r="B14" s="75" t="n">
        <x:f>-$B$4*$B$6*(-50/10000)+0.5*$B$4*$B$7*(-50/10000)^2</x:f>
        <x:v>4.0875</x:v>
      </x:c>
      <x:c r="C14" s="75" t="n">
        <x:f>$B$4+B14</x:f>
        <x:v>104.0875</x:v>
      </x:c>
      <x:c r="D14" s="86" t="n">
        <x:f>B14/$B$4*$B$8</x:f>
        <x:v>408750</x:v>
      </x:c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 t="n">
        <x:v>-25</x:v>
      </x:c>
      <x:c r="B15" s="75" t="n">
        <x:f>-$B$4*$B$6*(-25/10000)+0.5*$B$4*$B$7*(-25/10000)^2</x:f>
        <x:v>2.021875</x:v>
      </x:c>
      <x:c r="C15" s="75" t="n">
        <x:f>$B$4+B15</x:f>
        <x:v>102.021875</x:v>
      </x:c>
      <x:c r="D15" s="86" t="n">
        <x:f>B15/$B$4*$B$8</x:f>
        <x:v>202187.5</x:v>
      </x:c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 t="n">
        <x:v>25</x:v>
      </x:c>
      <x:c r="B16" s="75" t="n">
        <x:f>-$B$4*$B$6*(25/10000)+0.5*$B$4*$B$7*(25/10000)^2</x:f>
        <x:v>-1.978125</x:v>
      </x:c>
      <x:c r="C16" s="75" t="n">
        <x:f>$B$4+B16</x:f>
        <x:v>98.021875</x:v>
      </x:c>
      <x:c r="D16" s="86" t="n">
        <x:f>B16/$B$4*$B$8</x:f>
        <x:v>-197812.5</x:v>
      </x:c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 t="n">
        <x:v>50</x:v>
      </x:c>
      <x:c r="B17" s="75" t="n">
        <x:f>-$B$4*$B$6*(50/10000)+0.5*$B$4*$B$7*(50/10000)^2</x:f>
        <x:v>-3.9125</x:v>
      </x:c>
      <x:c r="C17" s="75" t="n">
        <x:f>$B$4+B17</x:f>
        <x:v>96.0875</x:v>
      </x:c>
      <x:c r="D17" s="86" t="n">
        <x:f>B17/$B$4*$B$8</x:f>
        <x:v>-391250</x:v>
      </x:c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 t="n">
        <x:v>100</x:v>
      </x:c>
      <x:c r="B18" s="75" t="n">
        <x:f>-$B$4*$B$6*(100/10000)+0.5*$B$4*$B$7*(100/10000)^2</x:f>
        <x:v>-7.65</x:v>
      </x:c>
      <x:c r="C18" s="75" t="n">
        <x:f>$B$4+B18</x:f>
        <x:v>92.35</x:v>
      </x:c>
      <x:c r="D18" s="86" t="n">
        <x:f>B18/$B$4*$B$8</x:f>
        <x:v>-765000</x:v>
      </x:c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 ht="22" customHeight="1">
      <x:c r="A21" s="28" t="str">
        <x:v>INTERPRETATION</x:v>
      </x:c>
      <x:c r="B21" s="28"/>
      <x:c r="C21" s="28"/>
      <x:c r="D21" s="28"/>
      <x:c r="E21" s="28"/>
      <x:c r="F21" s="28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81" t="str">
        <x:v>DV01</x:v>
      </x:c>
      <x:c r="B22" s="81" t="str">
        <x:v>Duration × price × 1bp. For a $10m notional, higher duration means larger P&amp;L per basis-point move.</x:v>
      </x:c>
      <x:c r="C22" s="81" t="str"/>
      <x:c r="D22" s="81" t="str"/>
      <x:c r="E22" s="81" t="str"/>
      <x:c r="F22" s="81" t="str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81" t="str">
        <x:v>Convexity</x:v>
      </x:c>
      <x:c r="B23" s="81" t="str">
        <x:v>Adds a second-order adjustment; useful when yield moves become larger.</x:v>
      </x:c>
      <x:c r="C23" s="81" t="str"/>
      <x:c r="D23" s="81" t="str"/>
      <x:c r="E23" s="81" t="str"/>
      <x:c r="F23" s="81" t="str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81" t="str">
        <x:v>Example</x:v>
      </x:c>
      <x:c r="B24" s="81" t="str">
        <x:v>At 4.67% yield and 8.0 duration, a 25bp rise produces a modelled price loss plus a convexity offset.</x:v>
      </x:c>
      <x:c r="C24" s="81" t="str"/>
      <x:c r="D24" s="81" t="str"/>
      <x:c r="E24" s="81" t="str"/>
      <x:c r="F24" s="81" t="str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81" t="str">
        <x:v>Caveat</x:v>
      </x:c>
      <x:c r="B25" s="81" t="str">
        <x:v>Illustrative zero-coupon-style approximation; real bonds have cash flows, spreads and carry.</x:v>
      </x:c>
      <x:c r="C25" s="81" t="str"/>
      <x:c r="D25" s="81" t="str"/>
      <x:c r="E25" s="81" t="str"/>
      <x:c r="F25" s="81" t="str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  <x:mergeCell ref="A11:F11"/>
    <x:mergeCell ref="A21:F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EQUITY INDEX OPTIONS | ILLUSTRATIVE BLACK–SCHOLES + GREEKS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Input</x:v>
      </x:c>
      <x:c r="B3" s="16" t="str">
        <x:v>Value</x:v>
      </x:c>
      <x:c r="C3" s="72"/>
      <x:c r="D3" s="16" t="str">
        <x:v>Output</x:v>
      </x:c>
      <x:c r="E3" s="16" t="str">
        <x:v>Call</x:v>
      </x:c>
      <x:c r="F3" s="16" t="str">
        <x:v>Put</x:v>
      </x:c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Spot</x:v>
      </x:c>
      <x:c r="B4" s="75" t="n">
        <x:v>7591.7</x:v>
      </x:c>
      <x:c r="C4" s="72"/>
      <x:c r="D4" s="72" t="str">
        <x:v>Price</x:v>
      </x:c>
      <x:c r="E4" s="75" t="n">
        <x:v>626.3337014247854</x:v>
      </x:c>
      <x:c r="F4" s="75" t="n">
        <x:v>446.25274652561757</x:v>
      </x:c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Strike</x:v>
      </x:c>
      <x:c r="B5" s="75" t="n">
        <x:v>7591.7</x:v>
      </x:c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Expiry (years)</x:v>
      </x:c>
      <x:c r="B6" s="72" t="n">
        <x:v>1</x:v>
      </x:c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Risk-free rate</x:v>
      </x:c>
      <x:c r="B7" s="74" t="n">
        <x:v>0.0363</x:v>
      </x:c>
      <x:c r="C7" s="72"/>
      <x:c r="D7" s="16" t="str">
        <x:v>Greek</x:v>
      </x:c>
      <x:c r="E7" s="16" t="str">
        <x:v>Call</x:v>
      </x:c>
      <x:c r="F7" s="16" t="str">
        <x:v>Put</x:v>
      </x:c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Dividend yield</x:v>
      </x:c>
      <x:c r="B8" s="74" t="n">
        <x:v>0.012</x:v>
      </x:c>
      <x:c r="C8" s="72"/>
      <x:c r="D8" s="72" t="str">
        <x:v>Delta</x:v>
      </x:c>
      <x:c r="E8" s="75" t="n">
        <x:v>0.5819844781331328</x:v>
      </x:c>
      <x:c r="F8" s="75" t="n">
        <x:v>-0.40608723472879765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str">
        <x:v>Volatility</x:v>
      </x:c>
      <x:c r="B9" s="74" t="n">
        <x:v>0.18</x:v>
      </x:c>
      <x:c r="C9" s="72"/>
      <x:c r="D9" s="72" t="str">
        <x:v>Gamma</x:v>
      </x:c>
      <x:c r="E9" s="75" t="n">
        <x:v>0.00028125089299917155</x:v>
      </x:c>
      <x:c r="F9" s="75" t="n">
        <x:v>0.00028125089299917155</x:v>
      </x:c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 t="str">
        <x:v>d1</x:v>
      </x:c>
      <x:c r="B10" s="75" t="n">
        <x:v>0.22499999999999998</x:v>
      </x:c>
      <x:c r="C10" s="72"/>
      <x:c r="D10" s="72" t="str">
        <x:v>Vega / +1 vol pt</x:v>
      </x:c>
      <x:c r="E10" s="75" t="n">
        <x:v>29.1772590162217</x:v>
      </x:c>
      <x:c r="F10" s="75" t="n">
        <x:v>29.1772590162217</x:v>
      </x:c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str">
        <x:v>d2</x:v>
      </x:c>
      <x:c r="B11" s="75" t="n">
        <x:v>0.044999999999999984</x:v>
      </x:c>
      <x:c r="C11" s="72"/>
      <x:c r="D11" s="72" t="str">
        <x:v>Theta / day</x:v>
      </x:c>
      <x:c r="E11" s="75" t="n">
        <x:v>-0.9512957007027613</x:v>
      </x:c>
      <x:c r="F11" s="75" t="n">
        <x:v>-0.4698138895117083</x:v>
      </x:c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/>
      <x:c r="B12" s="72"/>
      <x:c r="C12" s="72"/>
      <x:c r="D12" s="72" t="str">
        <x:v>Model note</x:v>
      </x:c>
      <x:c r="E12" s="72" t="str">
        <x:v>Illustrative; not a live quote.</x:v>
      </x:c>
      <x:c r="F12" s="72" t="str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8" customHeight="1">
      <x:c r="A1" s="4" t="str">
        <x:v>FX MODEL | GBP/USD CARRY + RATE DIFFERENTIAL + SCENARIOS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Input</x:v>
      </x:c>
      <x:c r="B3" s="16" t="str">
        <x:v>Value</x:v>
      </x:c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GBP/USD spot</x:v>
      </x:c>
      <x:c r="B4" s="75" t="n">
        <x:v>1.3528</x:v>
      </x:c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UK Bank Rate</x:v>
      </x:c>
      <x:c r="B5" s="74" t="n">
        <x:v>0.0375</x:v>
      </x:c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US Fed Funds</x:v>
      </x:c>
      <x:c r="B6" s="74" t="n">
        <x:v>0.0363</x:v>
      </x:c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UK-US rate differential</x:v>
      </x:c>
      <x:c r="B7" s="74" t="n">
        <x:v>0.0011999999999999997</x:v>
      </x:c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1Y carry proxy</x:v>
      </x:c>
      <x:c r="B8" s="74" t="n">
        <x:v>0.0011999999999999997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22" customHeight="1">
      <x:c r="A11" s="28" t="str">
        <x:v>SCENARIO GRID | SPOT SHOCK × RATE-DIFFERENTIAL SHOCK</x:v>
      </x:c>
      <x:c r="B11" s="28"/>
      <x:c r="C11" s="28"/>
      <x:c r="D11" s="28"/>
      <x:c r="E11" s="28"/>
      <x:c r="F11" s="28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16" t="str">
        <x:v>Spot shock</x:v>
      </x:c>
      <x:c r="B12" s="16" t="str">
        <x:v>-2.0%</x:v>
      </x:c>
      <x:c r="C12" s="16" t="str">
        <x:v>-1.0%</x:v>
      </x:c>
      <x:c r="D12" s="16" t="str">
        <x:v>0.0%</x:v>
      </x:c>
      <x:c r="E12" s="16" t="str">
        <x:v>1.0%</x:v>
      </x:c>
      <x:c r="F12" s="16" t="str">
        <x:v>2.0%</x:v>
      </x:c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4" t="n">
        <x:v>-0.1</x:v>
      </x:c>
      <x:c r="B13" s="74" t="n">
        <x:f>(1+$A13)*(1+(-0.02))-1</x:f>
        <x:v>-0.118</x:v>
      </x:c>
      <x:c r="C13" s="74" t="n">
        <x:f>(1+$A13)*(1+(-0.01))-1</x:f>
        <x:v>-0.10899999999999999</x:v>
      </x:c>
      <x:c r="D13" s="74" t="n">
        <x:f>(1+$A13)*(1+(0))-1</x:f>
        <x:v>-0.09999999999999998</x:v>
      </x:c>
      <x:c r="E13" s="74" t="n">
        <x:f>(1+$A13)*(1+(0.01))-1</x:f>
        <x:v>-0.09099999999999997</x:v>
      </x:c>
      <x:c r="F13" s="74" t="n">
        <x:f>(1+$A13)*(1+(0.02))-1</x:f>
        <x:v>-0.08199999999999996</x:v>
      </x:c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4" t="n">
        <x:v>-0.05</x:v>
      </x:c>
      <x:c r="B14" s="74" t="n">
        <x:f>(1+$A14)*(1+(-0.02))-1</x:f>
        <x:v>-0.06900000000000006</x:v>
      </x:c>
      <x:c r="C14" s="74" t="n">
        <x:f>(1+$A14)*(1+(-0.01))-1</x:f>
        <x:v>-0.0595</x:v>
      </x:c>
      <x:c r="D14" s="74" t="n">
        <x:f>(1+$A14)*(1+(0))-1</x:f>
        <x:v>-0.050000000000000044</x:v>
      </x:c>
      <x:c r="E14" s="74" t="n">
        <x:f>(1+$A14)*(1+(0.01))-1</x:f>
        <x:v>-0.04050000000000009</x:v>
      </x:c>
      <x:c r="F14" s="74" t="n">
        <x:f>(1+$A14)*(1+(0.02))-1</x:f>
        <x:v>-0.031000000000000028</x:v>
      </x:c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4" t="n">
        <x:v>0</x:v>
      </x:c>
      <x:c r="B15" s="74" t="n">
        <x:f>(1+$A15)*(1+(-0.02))-1</x:f>
        <x:v>-0.020000000000000018</x:v>
      </x:c>
      <x:c r="C15" s="74" t="n">
        <x:f>(1+$A15)*(1+(-0.01))-1</x:f>
        <x:v>-0.010000000000000009</x:v>
      </x:c>
      <x:c r="D15" s="74" t="n">
        <x:f>(1+$A15)*(1+(0))-1</x:f>
        <x:v>0</x:v>
      </x:c>
      <x:c r="E15" s="74" t="n">
        <x:f>(1+$A15)*(1+(0.01))-1</x:f>
        <x:v>0.010000000000000009</x:v>
      </x:c>
      <x:c r="F15" s="74" t="n">
        <x:f>(1+$A15)*(1+(0.02))-1</x:f>
        <x:v>0.020000000000000018</x:v>
      </x:c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4" t="n">
        <x:v>0.05</x:v>
      </x:c>
      <x:c r="B16" s="74" t="n">
        <x:f>(1+$A16)*(1+(-0.02))-1</x:f>
        <x:v>0.028999999999999915</x:v>
      </x:c>
      <x:c r="C16" s="74" t="n">
        <x:f>(1+$A16)*(1+(-0.01))-1</x:f>
        <x:v>0.03950000000000009</x:v>
      </x:c>
      <x:c r="D16" s="74" t="n">
        <x:f>(1+$A16)*(1+(0))-1</x:f>
        <x:v>0.050000000000000044</x:v>
      </x:c>
      <x:c r="E16" s="74" t="n">
        <x:f>(1+$A16)*(1+(0.01))-1</x:f>
        <x:v>0.0605</x:v>
      </x:c>
      <x:c r="F16" s="74" t="n">
        <x:f>(1+$A16)*(1+(0.02))-1</x:f>
        <x:v>0.07100000000000017</x:v>
      </x:c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4" t="n">
        <x:v>0.1</x:v>
      </x:c>
      <x:c r="B17" s="74" t="n">
        <x:f>(1+$A17)*(1+(-0.02))-1</x:f>
        <x:v>0.07800000000000007</x:v>
      </x:c>
      <x:c r="C17" s="74" t="n">
        <x:f>(1+$A17)*(1+(-0.01))-1</x:f>
        <x:v>0.08899999999999997</x:v>
      </x:c>
      <x:c r="D17" s="74" t="n">
        <x:f>(1+$A17)*(1+(0))-1</x:f>
        <x:v>0.10000000000000009</x:v>
      </x:c>
      <x:c r="E17" s="74" t="n">
        <x:f>(1+$A17)*(1+(0.01))-1</x:f>
        <x:v>0.11100000000000021</x:v>
      </x:c>
      <x:c r="F17" s="74" t="n">
        <x:f>(1+$A17)*(1+(0.02))-1</x:f>
        <x:v>0.12200000000000011</x:v>
      </x:c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 ht="22" customHeight="1">
      <x:c r="A20" s="28" t="str">
        <x:v>INTERPRETATION</x:v>
      </x:c>
      <x:c r="B20" s="28"/>
      <x:c r="C20" s="28"/>
      <x:c r="D20" s="28"/>
      <x:c r="E20" s="28"/>
      <x:c r="F20" s="28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81" t="str">
        <x:v>Carry</x:v>
      </x:c>
      <x:c r="B21" s="81" t="str">
        <x:v>A positive UK-US short-rate differential is a simple starting proxy for GBP carry.</x:v>
      </x:c>
      <x:c r="C21" s="81" t="str"/>
      <x:c r="D21" s="81" t="str"/>
      <x:c r="E21" s="81" t="str"/>
      <x:c r="F21" s="81" t="str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81" t="str">
        <x:v>Spot</x:v>
      </x:c>
      <x:c r="B22" s="81" t="str">
        <x:v>If GBP/USD rises, sterling has strengthened versus the dollar.</x:v>
      </x:c>
      <x:c r="C22" s="81" t="str"/>
      <x:c r="D22" s="81" t="str"/>
      <x:c r="E22" s="81" t="str"/>
      <x:c r="F22" s="81" t="str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81" t="str">
        <x:v>Use</x:v>
      </x:c>
      <x:c r="B23" s="81" t="str">
        <x:v>The grid forces you to separate spot risk from carry assumptions.</x:v>
      </x:c>
      <x:c r="C23" s="81" t="str"/>
      <x:c r="D23" s="81" t="str"/>
      <x:c r="E23" s="81" t="str"/>
      <x:c r="F23" s="81" t="str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81" t="str">
        <x:v>Caveat</x:v>
      </x:c>
      <x:c r="B24" s="81" t="str">
        <x:v>Real forward pricing depends on funding, basis, day-count and market-implied curves.</x:v>
      </x:c>
      <x:c r="C24" s="81" t="str"/>
      <x:c r="D24" s="81" t="str"/>
      <x:c r="E24" s="81" t="str"/>
      <x:c r="F24" s="81" t="str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  <x:mergeCell ref="A11:F11"/>
    <x:mergeCell ref="A20:F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4" t="str">
        <x:v>FACTOR MODEL | MARKET BETA, ALPHA &amp; CORRELATION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Asset</x:v>
      </x:c>
      <x:c r="B3" s="16" t="str">
        <x:v>Beta vs S&amp;P</x:v>
      </x:c>
      <x:c r="C3" s="16" t="str">
        <x:v>Correlation</x:v>
      </x:c>
      <x:c r="D3" s="16" t="str">
        <x:v>Annual Alpha</x:v>
      </x:c>
      <x:c r="E3" s="16" t="str">
        <x:v>Mean Return</x:v>
      </x:c>
      <x:c r="F3" s="16" t="str">
        <x:v>Volatility</x:v>
      </x:c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S&amp;P 500</x:v>
      </x:c>
      <x:c r="B4" s="75" t="n">
        <x:v>1</x:v>
      </x:c>
      <x:c r="C4" s="75" t="n">
        <x:v>1</x:v>
      </x:c>
      <x:c r="D4" s="74" t="n">
        <x:v>0</x:v>
      </x:c>
      <x:c r="E4" s="74" t="n">
        <x:v>0.09575</x:v>
      </x:c>
      <x:c r="F4" s="74" t="n">
        <x:v>0.177918024382017</x:v>
      </x:c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US Small Cap</x:v>
      </x:c>
      <x:c r="B5" s="75" t="n">
        <x:v>1.0456141416982279</x:v>
      </x:c>
      <x:c r="C5" s="75" t="n">
        <x:v>0.6911723517252265</x:v>
      </x:c>
      <x:c r="D5" s="74" t="n">
        <x:v>0.019332445932394665</x:v>
      </x:c>
      <x:c r="E5" s="74" t="n">
        <x:v>0.11944999999999999</x:v>
      </x:c>
      <x:c r="F5" s="74" t="n">
        <x:v>0.26915660311424644</x:v>
      </x:c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US 10Y T Bond</x:v>
      </x:c>
      <x:c r="B6" s="75" t="n">
        <x:v>-0.18011923579393588</x:v>
      </x:c>
      <x:c r="C6" s="75" t="n">
        <x:v>-0.36482978954412526</x:v>
      </x:c>
      <x:c r="D6" s="74" t="n">
        <x:v>0.059119493750346294</x:v>
      </x:c>
      <x:c r="E6" s="74" t="n">
        <x:v>0.04187307692307693</x:v>
      </x:c>
      <x:c r="F6" s="74" t="n">
        <x:v>0.08783947885861941</x:v>
      </x:c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Baa Corporate Bond</x:v>
      </x:c>
      <x:c r="B7" s="75" t="n">
        <x:v>0.1631015512157304</x:v>
      </x:c>
      <x:c r="C7" s="75" t="n">
        <x:v>0.3995984150000261</x:v>
      </x:c>
      <x:c r="D7" s="74" t="n">
        <x:v>0.04989071877878613</x:v>
      </x:c>
      <x:c r="E7" s="74" t="n">
        <x:v>0.06550769230769232</x:v>
      </x:c>
      <x:c r="F7" s="74" t="n">
        <x:v>0.0726196718421499</x:v>
      </x:c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US Real Estate</x:v>
      </x:c>
      <x:c r="B8" s="75" t="n">
        <x:v>0.10948052864512267</x:v>
      </x:c>
      <x:c r="C8" s="75" t="n">
        <x:v>0.28918450621205055</x:v>
      </x:c>
      <x:c r="D8" s="74" t="n">
        <x:v>0.03863262399761413</x:v>
      </x:c>
      <x:c r="E8" s="74" t="n">
        <x:v>0.04911538461538462</x:v>
      </x:c>
      <x:c r="F8" s="74" t="n">
        <x:v>0.06735685676934572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str">
        <x:v>Gold</x:v>
      </x:c>
      <x:c r="B9" s="75" t="n">
        <x:v>0.15694076498938864</x:v>
      </x:c>
      <x:c r="C9" s="75" t="n">
        <x:v>0.15572187437110943</x:v>
      </x:c>
      <x:c r="D9" s="74" t="n">
        <x:v>0.10817676790611219</x:v>
      </x:c>
      <x:c r="E9" s="74" t="n">
        <x:v>0.12320384615384615</x:v>
      </x:c>
      <x:c r="F9" s="74" t="n">
        <x:v>0.17931065217832257</x:v>
      </x:c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/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 ht="22" customHeight="1">
      <x:c r="A13" s="28" t="str">
        <x:v>INTERPRETATION</x:v>
      </x:c>
      <x:c r="B13" s="28"/>
      <x:c r="C13" s="28"/>
      <x:c r="D13" s="28"/>
      <x:c r="E13" s="28"/>
      <x:c r="F13" s="28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81" t="str">
        <x:v>Beta</x:v>
      </x:c>
      <x:c r="B14" s="81" t="str">
        <x:v>Measures sensitivity to S&amp;P 500 annual moves in this historical sample.</x:v>
      </x:c>
      <x:c r="C14" s="81" t="str"/>
      <x:c r="D14" s="81" t="str"/>
      <x:c r="E14" s="81" t="str"/>
      <x:c r="F14" s="81" t="str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81" t="str">
        <x:v>Correlation</x:v>
      </x:c>
      <x:c r="B15" s="81" t="str">
        <x:v>Shows whether two return series tended to move together.</x:v>
      </x:c>
      <x:c r="C15" s="81" t="str"/>
      <x:c r="D15" s="81" t="str"/>
      <x:c r="E15" s="81" t="str"/>
      <x:c r="F15" s="81" t="str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81" t="str">
        <x:v>Alpha</x:v>
      </x:c>
      <x:c r="B16" s="81" t="str">
        <x:v>Simple historical intercept relative to a zero-risk-free CAPM-style benchmark; not a forward forecast.</x:v>
      </x:c>
      <x:c r="C16" s="81" t="str"/>
      <x:c r="D16" s="81" t="str"/>
      <x:c r="E16" s="81" t="str"/>
      <x:c r="F16" s="81" t="str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81" t="str">
        <x:v>Use</x:v>
      </x:c>
      <x:c r="B17" s="81" t="str">
        <x:v>Helpful for understanding whether an asset adds diversification or simply adds more equity beta.</x:v>
      </x:c>
      <x:c r="C17" s="81" t="str"/>
      <x:c r="D17" s="81" t="str"/>
      <x:c r="E17" s="81" t="str"/>
      <x:c r="F17" s="81" t="str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6" hidden="0" customWidth="1"/>
    <x:col min="5" max="5" width="10" hidden="0" customWidth="1"/>
    <x:col min="6" max="6" width="42" hidden="0" customWidth="1"/>
  </x:cols>
  <x:sheetData>
    <x:row r="1" ht="28" customHeight="1">
      <x:c r="A1" s="4" t="str">
        <x:v>CREDIT MODEL | Baa RELATIVE PERFORMANCE + CREDIT CYCLE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Year</x:v>
      </x:c>
      <x:c r="B3" s="16" t="str">
        <x:v>Baa TR</x:v>
      </x:c>
      <x:c r="C3" s="16" t="str">
        <x:v>10Y TR</x:v>
      </x:c>
      <x:c r="D3" s="16" t="str">
        <x:v>Relative Return</x:v>
      </x:c>
      <x:c r="E3" s="16" t="str">
        <x:v>Signal</x:v>
      </x:c>
      <x:c r="F3" s="16" t="str">
        <x:v>Comment</x:v>
      </x:c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n">
        <x:f>Data!A7</x:f>
        <x:v>2000</x:v>
      </x:c>
      <x:c r="B4" s="74" t="n">
        <x:f>Data!E7</x:f>
        <x:v>0.0938</x:v>
      </x:c>
      <x:c r="C4" s="74" t="n">
        <x:f>Data!D7</x:f>
        <x:v>0.1666</x:v>
      </x:c>
      <x:c r="D4" s="74" t="n">
        <x:f>B4-C4</x:f>
        <x:v>-0.0728</x:v>
      </x:c>
      <x:c r="E4" s="72" t="n">
        <x:f>IF(D4&gt;0.01,1,IF(D4&lt;-0.01,-1,0))</x:f>
        <x:v>-1</x:v>
      </x:c>
      <x:c r="F4" s="72" t="str">
        <x:v>Baa relative return vs government bond proxy</x:v>
      </x:c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n">
        <x:f>Data!A8</x:f>
        <x:v>2001</x:v>
      </x:c>
      <x:c r="B5" s="74" t="n">
        <x:f>Data!E8</x:f>
        <x:v>0.086</x:v>
      </x:c>
      <x:c r="C5" s="74" t="n">
        <x:f>Data!D8</x:f>
        <x:v>0.0557</x:v>
      </x:c>
      <x:c r="D5" s="74" t="n">
        <x:f>B5-C5</x:f>
        <x:v>0.030299999999999994</x:v>
      </x:c>
      <x:c r="E5" s="72" t="n">
        <x:f>IF(D5&gt;0.01,1,IF(D5&lt;-0.01,-1,0))</x:f>
        <x:v>1</x:v>
      </x:c>
      <x:c r="F5" s="72" t="str">
        <x:v>Baa relative return vs government bond proxy</x:v>
      </x:c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n">
        <x:f>Data!A9</x:f>
        <x:v>2002</x:v>
      </x:c>
      <x:c r="B6" s="74" t="n">
        <x:f>Data!E9</x:f>
        <x:v>0.1206</x:v>
      </x:c>
      <x:c r="C6" s="74" t="n">
        <x:f>Data!D9</x:f>
        <x:v>0.1512</x:v>
      </x:c>
      <x:c r="D6" s="74" t="n">
        <x:f>B6-C6</x:f>
        <x:v>-0.030600000000000002</x:v>
      </x:c>
      <x:c r="E6" s="72" t="n">
        <x:f>IF(D6&gt;0.01,1,IF(D6&lt;-0.01,-1,0))</x:f>
        <x:v>-1</x:v>
      </x:c>
      <x:c r="F6" s="72" t="str">
        <x:v>Baa relative return vs government bond proxy</x:v>
      </x:c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n">
        <x:f>Data!A10</x:f>
        <x:v>2003</x:v>
      </x:c>
      <x:c r="B7" s="74" t="n">
        <x:f>Data!E10</x:f>
        <x:v>0.1238</x:v>
      </x:c>
      <x:c r="C7" s="74" t="n">
        <x:f>Data!D10</x:f>
        <x:v>0.0038</x:v>
      </x:c>
      <x:c r="D7" s="74" t="n">
        <x:f>B7-C7</x:f>
        <x:v>0.12</x:v>
      </x:c>
      <x:c r="E7" s="72" t="n">
        <x:f>IF(D7&gt;0.01,1,IF(D7&lt;-0.01,-1,0))</x:f>
        <x:v>1</x:v>
      </x:c>
      <x:c r="F7" s="72" t="str">
        <x:v>Baa relative return vs government bond proxy</x:v>
      </x:c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n">
        <x:f>Data!A11</x:f>
        <x:v>2004</x:v>
      </x:c>
      <x:c r="B8" s="74" t="n">
        <x:f>Data!E11</x:f>
        <x:v>0.1033</x:v>
      </x:c>
      <x:c r="C8" s="74" t="n">
        <x:f>Data!D11</x:f>
        <x:v>0.0449</x:v>
      </x:c>
      <x:c r="D8" s="74" t="n">
        <x:f>B8-C8</x:f>
        <x:v>0.0584</x:v>
      </x:c>
      <x:c r="E8" s="72" t="n">
        <x:f>IF(D8&gt;0.01,1,IF(D8&lt;-0.01,-1,0))</x:f>
        <x:v>1</x:v>
      </x:c>
      <x:c r="F8" s="72" t="str">
        <x:v>Baa relative return vs government bond proxy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n">
        <x:f>Data!A12</x:f>
        <x:v>2005</x:v>
      </x:c>
      <x:c r="B9" s="74" t="n">
        <x:f>Data!E12</x:f>
        <x:v>0.0513</x:v>
      </x:c>
      <x:c r="C9" s="74" t="n">
        <x:f>Data!D12</x:f>
        <x:v>0.0287</x:v>
      </x:c>
      <x:c r="D9" s="74" t="n">
        <x:f>B9-C9</x:f>
        <x:v>0.0226</x:v>
      </x:c>
      <x:c r="E9" s="72" t="n">
        <x:f>IF(D9&gt;0.01,1,IF(D9&lt;-0.01,-1,0))</x:f>
        <x:v>1</x:v>
      </x:c>
      <x:c r="F9" s="72" t="str">
        <x:v>Baa relative return vs government bond proxy</x:v>
      </x:c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 t="n">
        <x:f>Data!A13</x:f>
        <x:v>2006</x:v>
      </x:c>
      <x:c r="B10" s="74" t="n">
        <x:f>Data!E13</x:f>
        <x:v>0.0527</x:v>
      </x:c>
      <x:c r="C10" s="74" t="n">
        <x:f>Data!D13</x:f>
        <x:v>0.0196</x:v>
      </x:c>
      <x:c r="D10" s="74" t="n">
        <x:f>B10-C10</x:f>
        <x:v>0.0331</x:v>
      </x:c>
      <x:c r="E10" s="72" t="n">
        <x:f>IF(D10&gt;0.01,1,IF(D10&lt;-0.01,-1,0))</x:f>
        <x:v>1</x:v>
      </x:c>
      <x:c r="F10" s="72" t="str">
        <x:v>Baa relative return vs government bond proxy</x:v>
      </x:c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n">
        <x:f>Data!A14</x:f>
        <x:v>2007</x:v>
      </x:c>
      <x:c r="B11" s="74" t="n">
        <x:f>Data!E14</x:f>
        <x:v>0.049</x:v>
      </x:c>
      <x:c r="C11" s="74" t="n">
        <x:f>Data!D14</x:f>
        <x:v>0.1021</x:v>
      </x:c>
      <x:c r="D11" s="74" t="n">
        <x:f>B11-C11</x:f>
        <x:v>-0.053099999999999994</x:v>
      </x:c>
      <x:c r="E11" s="72" t="n">
        <x:f>IF(D11&gt;0.01,1,IF(D11&lt;-0.01,-1,0))</x:f>
        <x:v>-1</x:v>
      </x:c>
      <x:c r="F11" s="72" t="str">
        <x:v>Baa relative return vs government bond proxy</x:v>
      </x:c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 t="n">
        <x:f>Data!A15</x:f>
        <x:v>2008</x:v>
      </x:c>
      <x:c r="B12" s="74" t="n">
        <x:f>Data!E15</x:f>
        <x:v>-0.0344</x:v>
      </x:c>
      <x:c r="C12" s="74" t="n">
        <x:f>Data!D15</x:f>
        <x:v>0.201</x:v>
      </x:c>
      <x:c r="D12" s="74" t="n">
        <x:f>B12-C12</x:f>
        <x:v>-0.2354</x:v>
      </x:c>
      <x:c r="E12" s="72" t="n">
        <x:f>IF(D12&gt;0.01,1,IF(D12&lt;-0.01,-1,0))</x:f>
        <x:v>-1</x:v>
      </x:c>
      <x:c r="F12" s="72" t="str">
        <x:v>Baa relative return vs government bond proxy</x:v>
      </x:c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 t="n">
        <x:f>Data!A16</x:f>
        <x:v>2009</x:v>
      </x:c>
      <x:c r="B13" s="74" t="n">
        <x:f>Data!E16</x:f>
        <x:v>0.1996</x:v>
      </x:c>
      <x:c r="C13" s="74" t="n">
        <x:f>Data!D16</x:f>
        <x:v>-0.1112</x:v>
      </x:c>
      <x:c r="D13" s="74" t="n">
        <x:f>B13-C13</x:f>
        <x:v>0.31079999999999997</x:v>
      </x:c>
      <x:c r="E13" s="72" t="n">
        <x:f>IF(D13&gt;0.01,1,IF(D13&lt;-0.01,-1,0))</x:f>
        <x:v>1</x:v>
      </x:c>
      <x:c r="F13" s="72" t="str">
        <x:v>Baa relative return vs government bond proxy</x:v>
      </x:c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 t="n">
        <x:f>Data!A17</x:f>
        <x:v>2010</x:v>
      </x:c>
      <x:c r="B14" s="74" t="n">
        <x:f>Data!E17</x:f>
        <x:v>0.094</x:v>
      </x:c>
      <x:c r="C14" s="74" t="n">
        <x:f>Data!D17</x:f>
        <x:v>0.0846</x:v>
      </x:c>
      <x:c r="D14" s="74" t="n">
        <x:f>B14-C14</x:f>
        <x:v>0.009400000000000006</x:v>
      </x:c>
      <x:c r="E14" s="72" t="n">
        <x:f>IF(D14&gt;0.01,1,IF(D14&lt;-0.01,-1,0))</x:f>
        <x:v>0</x:v>
      </x:c>
      <x:c r="F14" s="72" t="str">
        <x:v>Baa relative return vs government bond proxy</x:v>
      </x:c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 t="n">
        <x:f>Data!A18</x:f>
        <x:v>2011</x:v>
      </x:c>
      <x:c r="B15" s="74" t="n">
        <x:f>Data!E18</x:f>
        <x:v>0.1226</x:v>
      </x:c>
      <x:c r="C15" s="74" t="n">
        <x:f>Data!D18</x:f>
        <x:v>0.1604</x:v>
      </x:c>
      <x:c r="D15" s="74" t="n">
        <x:f>B15-C15</x:f>
        <x:v>-0.037799999999999986</x:v>
      </x:c>
      <x:c r="E15" s="72" t="n">
        <x:f>IF(D15&gt;0.01,1,IF(D15&lt;-0.01,-1,0))</x:f>
        <x:v>-1</x:v>
      </x:c>
      <x:c r="F15" s="72" t="str">
        <x:v>Baa relative return vs government bond proxy</x:v>
      </x:c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 t="n">
        <x:f>Data!A19</x:f>
        <x:v>2012</x:v>
      </x:c>
      <x:c r="B16" s="74" t="n">
        <x:f>Data!E19</x:f>
        <x:v>0.094</x:v>
      </x:c>
      <x:c r="C16" s="74" t="n">
        <x:f>Data!D19</x:f>
        <x:v>0.0297</x:v>
      </x:c>
      <x:c r="D16" s="74" t="n">
        <x:f>B16-C16</x:f>
        <x:v>0.0643</x:v>
      </x:c>
      <x:c r="E16" s="72" t="n">
        <x:f>IF(D16&gt;0.01,1,IF(D16&lt;-0.01,-1,0))</x:f>
        <x:v>1</x:v>
      </x:c>
      <x:c r="F16" s="72" t="str">
        <x:v>Baa relative return vs government bond proxy</x:v>
      </x:c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 t="n">
        <x:f>Data!A20</x:f>
        <x:v>2013</x:v>
      </x:c>
      <x:c r="B17" s="74" t="n">
        <x:f>Data!E20</x:f>
        <x:v>-0.0113</x:v>
      </x:c>
      <x:c r="C17" s="74" t="n">
        <x:f>Data!D20</x:f>
        <x:v>-0.091</x:v>
      </x:c>
      <x:c r="D17" s="74" t="n">
        <x:f>B17-C17</x:f>
        <x:v>0.0797</x:v>
      </x:c>
      <x:c r="E17" s="72" t="n">
        <x:f>IF(D17&gt;0.01,1,IF(D17&lt;-0.01,-1,0))</x:f>
        <x:v>1</x:v>
      </x:c>
      <x:c r="F17" s="72" t="str">
        <x:v>Baa relative return vs government bond proxy</x:v>
      </x:c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 t="n">
        <x:f>Data!A21</x:f>
        <x:v>2014</x:v>
      </x:c>
      <x:c r="B18" s="74" t="n">
        <x:f>Data!E21</x:f>
        <x:v>0.1075</x:v>
      </x:c>
      <x:c r="C18" s="74" t="n">
        <x:f>Data!D21</x:f>
        <x:v>0.1075</x:v>
      </x:c>
      <x:c r="D18" s="74" t="n">
        <x:f>B18-C18</x:f>
        <x:v>0</x:v>
      </x:c>
      <x:c r="E18" s="72" t="n">
        <x:f>IF(D18&gt;0.01,1,IF(D18&lt;-0.01,-1,0))</x:f>
        <x:v>0</x:v>
      </x:c>
      <x:c r="F18" s="72" t="str">
        <x:v>Baa relative return vs government bond proxy</x:v>
      </x:c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 t="n">
        <x:f>Data!A22</x:f>
        <x:v>2015</x:v>
      </x:c>
      <x:c r="B19" s="74" t="n">
        <x:f>Data!E22</x:f>
        <x:v>-0.015</x:v>
      </x:c>
      <x:c r="C19" s="74" t="n">
        <x:f>Data!D22</x:f>
        <x:v>0.0128</x:v>
      </x:c>
      <x:c r="D19" s="74" t="n">
        <x:f>B19-C19</x:f>
        <x:v>-0.0278</x:v>
      </x:c>
      <x:c r="E19" s="72" t="n">
        <x:f>IF(D19&gt;0.01,1,IF(D19&lt;-0.01,-1,0))</x:f>
        <x:v>-1</x:v>
      </x:c>
      <x:c r="F19" s="72" t="str">
        <x:v>Baa relative return vs government bond proxy</x:v>
      </x:c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 t="n">
        <x:f>Data!A23</x:f>
        <x:v>2016</x:v>
      </x:c>
      <x:c r="B20" s="74" t="n">
        <x:f>Data!E23</x:f>
        <x:v>0.1152</x:v>
      </x:c>
      <x:c r="C20" s="74" t="n">
        <x:f>Data!D23</x:f>
        <x:v>0.0069</x:v>
      </x:c>
      <x:c r="D20" s="74" t="n">
        <x:f>B20-C20</x:f>
        <x:v>0.1083</x:v>
      </x:c>
      <x:c r="E20" s="72" t="n">
        <x:f>IF(D20&gt;0.01,1,IF(D20&lt;-0.01,-1,0))</x:f>
        <x:v>1</x:v>
      </x:c>
      <x:c r="F20" s="72" t="str">
        <x:v>Baa relative return vs government bond proxy</x:v>
      </x:c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 t="n">
        <x:f>Data!A24</x:f>
        <x:v>2017</x:v>
      </x:c>
      <x:c r="B21" s="74" t="n">
        <x:f>Data!E24</x:f>
        <x:v>0.0915</x:v>
      </x:c>
      <x:c r="C21" s="74" t="n">
        <x:f>Data!D24</x:f>
        <x:v>0.028</x:v>
      </x:c>
      <x:c r="D21" s="74" t="n">
        <x:f>B21-C21</x:f>
        <x:v>0.0635</x:v>
      </x:c>
      <x:c r="E21" s="72" t="n">
        <x:f>IF(D21&gt;0.01,1,IF(D21&lt;-0.01,-1,0))</x:f>
        <x:v>1</x:v>
      </x:c>
      <x:c r="F21" s="72" t="str">
        <x:v>Baa relative return vs government bond proxy</x:v>
      </x:c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 t="n">
        <x:f>Data!A25</x:f>
        <x:v>2018</x:v>
      </x:c>
      <x:c r="B22" s="74" t="n">
        <x:f>Data!E25</x:f>
        <x:v>-0.0318</x:v>
      </x:c>
      <x:c r="C22" s="74" t="n">
        <x:f>Data!D25</x:f>
        <x:v>-0.0002</x:v>
      </x:c>
      <x:c r="D22" s="74" t="n">
        <x:f>B22-C22</x:f>
        <x:v>-0.0316</x:v>
      </x:c>
      <x:c r="E22" s="72" t="n">
        <x:f>IF(D22&gt;0.01,1,IF(D22&lt;-0.01,-1,0))</x:f>
        <x:v>-1</x:v>
      </x:c>
      <x:c r="F22" s="72" t="str">
        <x:v>Baa relative return vs government bond proxy</x:v>
      </x:c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 t="n">
        <x:f>Data!A26</x:f>
        <x:v>2019</x:v>
      </x:c>
      <x:c r="B23" s="74" t="n">
        <x:f>Data!E26</x:f>
        <x:v>0.1525</x:v>
      </x:c>
      <x:c r="C23" s="74" t="n">
        <x:f>Data!D26</x:f>
        <x:v>0.0964</x:v>
      </x:c>
      <x:c r="D23" s="74" t="n">
        <x:f>B23-C23</x:f>
        <x:v>0.0561</x:v>
      </x:c>
      <x:c r="E23" s="72" t="n">
        <x:f>IF(D23&gt;0.01,1,IF(D23&lt;-0.01,-1,0))</x:f>
        <x:v>1</x:v>
      </x:c>
      <x:c r="F23" s="72" t="str">
        <x:v>Baa relative return vs government bond proxy</x:v>
      </x:c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 t="n">
        <x:f>Data!A27</x:f>
        <x:v>2020</x:v>
      </x:c>
      <x:c r="B24" s="74" t="n">
        <x:f>Data!E27</x:f>
        <x:v>0.106</x:v>
      </x:c>
      <x:c r="C24" s="74" t="n">
        <x:f>Data!D27</x:f>
        <x:v>0.1133</x:v>
      </x:c>
      <x:c r="D24" s="74" t="n">
        <x:f>B24-C24</x:f>
        <x:v>-0.007300000000000001</x:v>
      </x:c>
      <x:c r="E24" s="72" t="n">
        <x:f>IF(D24&gt;0.01,1,IF(D24&lt;-0.01,-1,0))</x:f>
        <x:v>0</x:v>
      </x:c>
      <x:c r="F24" s="72" t="str">
        <x:v>Baa relative return vs government bond proxy</x:v>
      </x:c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 t="n">
        <x:f>Data!A28</x:f>
        <x:v>2021</x:v>
      </x:c>
      <x:c r="B25" s="74" t="n">
        <x:f>Data!E28</x:f>
        <x:v>0.0102</x:v>
      </x:c>
      <x:c r="C25" s="74" t="n">
        <x:f>Data!D28</x:f>
        <x:v>-0.0442</x:v>
      </x:c>
      <x:c r="D25" s="74" t="n">
        <x:f>B25-C25</x:f>
        <x:v>0.054400000000000004</x:v>
      </x:c>
      <x:c r="E25" s="72" t="n">
        <x:f>IF(D25&gt;0.01,1,IF(D25&lt;-0.01,-1,0))</x:f>
        <x:v>1</x:v>
      </x:c>
      <x:c r="F25" s="72" t="str">
        <x:v>Baa relative return vs government bond proxy</x:v>
      </x:c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 t="n">
        <x:f>Data!A29</x:f>
        <x:v>2022</x:v>
      </x:c>
      <x:c r="B26" s="74" t="n">
        <x:f>Data!E29</x:f>
        <x:v>-0.1523</x:v>
      </x:c>
      <x:c r="C26" s="74" t="n">
        <x:f>Data!D29</x:f>
        <x:v>-0.1783</x:v>
      </x:c>
      <x:c r="D26" s="74" t="n">
        <x:f>B26-C26</x:f>
        <x:v>0.025999999999999995</x:v>
      </x:c>
      <x:c r="E26" s="72" t="n">
        <x:f>IF(D26&gt;0.01,1,IF(D26&lt;-0.01,-1,0))</x:f>
        <x:v>1</x:v>
      </x:c>
      <x:c r="F26" s="72" t="str">
        <x:v>Baa relative return vs government bond proxy</x:v>
      </x:c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 t="n">
        <x:f>Data!A30</x:f>
        <x:v>2023</x:v>
      </x:c>
      <x:c r="B27" s="74" t="n">
        <x:f>Data!E30</x:f>
        <x:v>0.0874</x:v>
      </x:c>
      <x:c r="C27" s="74" t="n">
        <x:f>Data!D30</x:f>
        <x:v>0.0388</x:v>
      </x:c>
      <x:c r="D27" s="74" t="n">
        <x:f>B27-C27</x:f>
        <x:v>0.048600000000000004</x:v>
      </x:c>
      <x:c r="E27" s="72" t="n">
        <x:f>IF(D27&gt;0.01,1,IF(D27&lt;-0.01,-1,0))</x:f>
        <x:v>1</x:v>
      </x:c>
      <x:c r="F27" s="72" t="str">
        <x:v>Baa relative return vs government bond proxy</x:v>
      </x:c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 t="n">
        <x:f>Data!A31</x:f>
        <x:v>2024</x:v>
      </x:c>
      <x:c r="B28" s="74" t="n">
        <x:f>Data!E31</x:f>
        <x:v>0.0174</x:v>
      </x:c>
      <x:c r="C28" s="74" t="n">
        <x:f>Data!D31</x:f>
        <x:v>-0.0164</x:v>
      </x:c>
      <x:c r="D28" s="74" t="n">
        <x:f>B28-C28</x:f>
        <x:v>0.0338</x:v>
      </x:c>
      <x:c r="E28" s="72" t="n">
        <x:f>IF(D28&gt;0.01,1,IF(D28&lt;-0.01,-1,0))</x:f>
        <x:v>1</x:v>
      </x:c>
      <x:c r="F28" s="72" t="str">
        <x:v>Baa relative return vs government bond proxy</x:v>
      </x:c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 t="n">
        <x:f>Data!A32</x:f>
        <x:v>2025</x:v>
      </x:c>
      <x:c r="B29" s="74" t="n">
        <x:f>Data!E32</x:f>
        <x:v>0.0696</x:v>
      </x:c>
      <x:c r="C29" s="74" t="n">
        <x:f>Data!D32</x:f>
        <x:v>0.078</x:v>
      </x:c>
      <x:c r="D29" s="74" t="n">
        <x:f>B29-C29</x:f>
        <x:v>-0.008400000000000005</x:v>
      </x:c>
      <x:c r="E29" s="72" t="n">
        <x:f>IF(D29&gt;0.01,1,IF(D29&lt;-0.01,-1,0))</x:f>
        <x:v>0</x:v>
      </x:c>
      <x:c r="F29" s="72" t="str">
        <x:v>Baa relative return vs government bond proxy</x:v>
      </x:c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 ht="22" customHeight="1">
      <x:c r="A32" s="28" t="str">
        <x:v>WHY IT MATTERS</x:v>
      </x:c>
      <x:c r="B32" s="28"/>
      <x:c r="C32" s="28"/>
      <x:c r="D32" s="28"/>
      <x:c r="E32" s="28"/>
      <x:c r="F32" s="28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81" t="str">
        <x:v>Credit risk</x:v>
      </x:c>
      <x:c r="B33" s="81" t="str">
        <x:v>Corporate bonds combine rates risk with issuer/credit risk.</x:v>
      </x:c>
      <x:c r="C33" s="81" t="str"/>
      <x:c r="D33" s="81" t="str"/>
      <x:c r="E33" s="81" t="str"/>
      <x:c r="F33" s="81" t="str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81" t="str">
        <x:v>Proxy</x:v>
      </x:c>
      <x:c r="B34" s="81" t="str">
        <x:v>Baa corporate bond total return is a simple proxy; it is not an option-adjusted spread.</x:v>
      </x:c>
      <x:c r="C34" s="81" t="str"/>
      <x:c r="D34" s="81" t="str"/>
      <x:c r="E34" s="81" t="str"/>
      <x:c r="F34" s="81" t="str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81" t="str">
        <x:v>Upgrade</x:v>
      </x:c>
      <x:c r="B35" s="81" t="str">
        <x:v>A future version should add OAS, default probabilities and sector-level spreads.</x:v>
      </x:c>
      <x:c r="C35" s="81" t="str"/>
      <x:c r="D35" s="81" t="str"/>
      <x:c r="E35" s="81" t="str"/>
      <x:c r="F35" s="81" t="str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81" t="str">
        <x:v>Interview angle</x:v>
      </x:c>
      <x:c r="B36" s="81" t="str">
        <x:v>Explain why a diversified FICC portfolio needs more than equity and rates.</x:v>
      </x:c>
      <x:c r="C36" s="81" t="str"/>
      <x:c r="D36" s="81" t="str"/>
      <x:c r="E36" s="81" t="str"/>
      <x:c r="F36" s="81" t="str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  <x:mergeCell ref="A32:F3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</x:cols>
  <x:sheetData>
    <x:row r="1" ht="28" customHeight="1">
      <x:c r="A1" s="98" t="str">
        <x:v>STRESS TEST | “WHAT IF?” SCENARIOS ON THE CURRENT PORTFOLIO</x:v>
      </x:c>
      <x:c r="B1" s="98"/>
      <x:c r="C1" s="98"/>
      <x:c r="D1" s="98"/>
      <x:c r="E1" s="98"/>
      <x:c r="F1" s="98"/>
      <x:c r="G1" s="98"/>
      <x:c r="H1" s="98"/>
      <x:c r="I1" s="98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16" t="str">
        <x:v>Scenario</x:v>
      </x:c>
      <x:c r="B3" s="16" t="str">
        <x:v>S&amp;P</x:v>
      </x:c>
      <x:c r="C3" s="16" t="str">
        <x:v>Small</x:v>
      </x:c>
      <x:c r="D3" s="16" t="str">
        <x:v>10Y</x:v>
      </x:c>
      <x:c r="E3" s="16" t="str">
        <x:v>Baa</x:v>
      </x:c>
      <x:c r="F3" s="16" t="str">
        <x:v>RE</x:v>
      </x:c>
      <x:c r="G3" s="16" t="str">
        <x:v>Gold</x:v>
      </x:c>
      <x:c r="H3" s="16" t="str">
        <x:v>Cash</x:v>
      </x:c>
      <x:c r="I3" s="16" t="str">
        <x:v>Portfolio Impact</x:v>
      </x:c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Risk-off</x:v>
      </x:c>
      <x:c r="B4" s="118" t="n">
        <x:v>-0.2</x:v>
      </x:c>
      <x:c r="C4" s="118" t="n">
        <x:v>-0.25</x:v>
      </x:c>
      <x:c r="D4" s="118" t="n">
        <x:v>0.08</x:v>
      </x:c>
      <x:c r="E4" s="118" t="n">
        <x:v>-0.12</x:v>
      </x:c>
      <x:c r="F4" s="118" t="n">
        <x:v>-0.1</x:v>
      </x:c>
      <x:c r="G4" s="118" t="n">
        <x:v>0.12</x:v>
      </x:c>
      <x:c r="H4" s="118" t="n">
        <x:v>0.03</x:v>
      </x:c>
      <x:c r="I4" s="118" t="n">
        <x:f>B4*'Optimization Lab'!B15+C4*'Optimization Lab'!B16+D4*'Optimization Lab'!B17+E4*'Optimization Lab'!B18+F4*'Optimization Lab'!B19+G4*'Optimization Lab'!B20+H4*'Optimization Lab'!B21</x:f>
        <x:v>-0.0785</x:v>
      </x:c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Inflation shock</x:v>
      </x:c>
      <x:c r="B5" s="118" t="n">
        <x:v>-0.1</x:v>
      </x:c>
      <x:c r="C5" s="118" t="n">
        <x:v>-0.15</x:v>
      </x:c>
      <x:c r="D5" s="118" t="n">
        <x:v>-0.05</x:v>
      </x:c>
      <x:c r="E5" s="118" t="n">
        <x:v>-0.08</x:v>
      </x:c>
      <x:c r="F5" s="118" t="n">
        <x:v>-0.05</x:v>
      </x:c>
      <x:c r="G5" s="118" t="n">
        <x:v>0.2</x:v>
      </x:c>
      <x:c r="H5" s="118" t="n">
        <x:v>0.03</x:v>
      </x:c>
      <x:c r="I5" s="118" t="n">
        <x:f>B5*'Optimization Lab'!B15+C5*'Optimization Lab'!B16+D5*'Optimization Lab'!B17+E5*'Optimization Lab'!B18+F5*'Optimization Lab'!B19+G5*'Optimization Lab'!B20+H5*'Optimization Lab'!B21</x:f>
        <x:v>-0.041</x:v>
      </x:c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Rates shock</x:v>
      </x:c>
      <x:c r="B6" s="118" t="n">
        <x:v>-0.08</x:v>
      </x:c>
      <x:c r="C6" s="118" t="n">
        <x:v>-0.1</x:v>
      </x:c>
      <x:c r="D6" s="118" t="n">
        <x:v>-0.1</x:v>
      </x:c>
      <x:c r="E6" s="118" t="n">
        <x:v>-0.06</x:v>
      </x:c>
      <x:c r="F6" s="118" t="n">
        <x:v>-0.05</x:v>
      </x:c>
      <x:c r="G6" s="118" t="n">
        <x:v>-0.05</x:v>
      </x:c>
      <x:c r="H6" s="118" t="n">
        <x:v>0.03</x:v>
      </x:c>
      <x:c r="I6" s="118" t="n">
        <x:f>B6*'Optimization Lab'!B15+C6*'Optimization Lab'!B16+D6*'Optimization Lab'!B17+E6*'Optimization Lab'!B18+F6*'Optimization Lab'!B19+G6*'Optimization Lab'!B20+H6*'Optimization Lab'!B21</x:f>
        <x:v>-0.060500000000000005</x:v>
      </x:c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Credit shock</x:v>
      </x:c>
      <x:c r="B7" s="118" t="n">
        <x:v>-0.12</x:v>
      </x:c>
      <x:c r="C7" s="118" t="n">
        <x:v>-0.15</x:v>
      </x:c>
      <x:c r="D7" s="118" t="n">
        <x:v>-0.05</x:v>
      </x:c>
      <x:c r="E7" s="118" t="n">
        <x:v>-0.15</x:v>
      </x:c>
      <x:c r="F7" s="118" t="n">
        <x:v>-0.08</x:v>
      </x:c>
      <x:c r="G7" s="118" t="n">
        <x:v>0.05</x:v>
      </x:c>
      <x:c r="H7" s="118" t="n">
        <x:v>0.03</x:v>
      </x:c>
      <x:c r="I7" s="118" t="n">
        <x:f>B7*'Optimization Lab'!B15+C7*'Optimization Lab'!B16+D7*'Optimization Lab'!B17+E7*'Optimization Lab'!B18+F7*'Optimization Lab'!B19+G7*'Optimization Lab'!B20+H7*'Optimization Lab'!B21</x:f>
        <x:v>-0.07199999999999998</x:v>
      </x:c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Gold spike</x:v>
      </x:c>
      <x:c r="B8" s="118" t="n">
        <x:v>-0.15</x:v>
      </x:c>
      <x:c r="C8" s="118" t="n">
        <x:v>-0.2</x:v>
      </x:c>
      <x:c r="D8" s="118" t="n">
        <x:v>0.05</x:v>
      </x:c>
      <x:c r="E8" s="118" t="n">
        <x:v>-0.1</x:v>
      </x:c>
      <x:c r="F8" s="118" t="n">
        <x:v>-0.05</x:v>
      </x:c>
      <x:c r="G8" s="118" t="n">
        <x:v>0.3</x:v>
      </x:c>
      <x:c r="H8" s="118" t="n">
        <x:v>0.03</x:v>
      </x:c>
      <x:c r="I8" s="118" t="n">
        <x:f>B8*'Optimization Lab'!B15+C8*'Optimization Lab'!B16+D8*'Optimization Lab'!B17+E8*'Optimization Lab'!B18+F8*'Optimization Lab'!B19+G8*'Optimization Lab'!B20+H8*'Optimization Lab'!B21</x:f>
        <x:v>-0.03800000000000001</x:v>
      </x:c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Severe stagflation</x:v>
      </x:c>
      <x:c r="B9" s="118" t="n">
        <x:v>-0.25</x:v>
      </x:c>
      <x:c r="C9" s="118" t="n">
        <x:v>-0.3</x:v>
      </x:c>
      <x:c r="D9" s="118" t="n">
        <x:v>-0.08</x:v>
      </x:c>
      <x:c r="E9" s="118" t="n">
        <x:v>-0.18</x:v>
      </x:c>
      <x:c r="F9" s="118" t="n">
        <x:v>-0.15</x:v>
      </x:c>
      <x:c r="G9" s="118" t="n">
        <x:v>0.15</x:v>
      </x:c>
      <x:c r="H9" s="118" t="n">
        <x:v>0.03</x:v>
      </x:c>
      <x:c r="I9" s="118" t="n">
        <x:f>B9*'Optimization Lab'!B15+C9*'Optimization Lab'!B16+D9*'Optimization Lab'!B17+E9*'Optimization Lab'!B18+F9*'Optimization Lab'!B19+G9*'Optimization Lab'!B20+H9*'Optimization Lab'!B21</x:f>
        <x:v>-0.13049999999999995</x:v>
      </x:c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S&amp;P crash only</x:v>
      </x:c>
      <x:c r="B10" s="118" t="n">
        <x:v>-0.3</x:v>
      </x:c>
      <x:c r="C10" s="118" t="n">
        <x:v>-0.35</x:v>
      </x:c>
      <x:c r="D10" s="118" t="n">
        <x:v>0.04</x:v>
      </x:c>
      <x:c r="E10" s="118" t="n">
        <x:v>-0.08</x:v>
      </x:c>
      <x:c r="F10" s="118" t="n">
        <x:v>-0.04</x:v>
      </x:c>
      <x:c r="G10" s="118" t="n">
        <x:v>0.05</x:v>
      </x:c>
      <x:c r="H10" s="118" t="n">
        <x:v>0.03</x:v>
      </x:c>
      <x:c r="I10" s="118" t="n">
        <x:f>B10*'Optimization Lab'!B15+C10*'Optimization Lab'!B16+D10*'Optimization Lab'!B17+E10*'Optimization Lab'!B18+F10*'Optimization Lab'!B19+G10*'Optimization Lab'!B20+H10*'Optimization Lab'!B21</x:f>
        <x:v>-0.1215</x:v>
      </x:c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Rates + inflation</x:v>
      </x:c>
      <x:c r="B11" s="118" t="n">
        <x:v>-0.12</x:v>
      </x:c>
      <x:c r="C11" s="118" t="n">
        <x:v>-0.16</x:v>
      </x:c>
      <x:c r="D11" s="118" t="n">
        <x:v>-0.12</x:v>
      </x:c>
      <x:c r="E11" s="118" t="n">
        <x:v>-0.1</x:v>
      </x:c>
      <x:c r="F11" s="118" t="n">
        <x:v>-0.08</x:v>
      </x:c>
      <x:c r="G11" s="118" t="n">
        <x:v>0.1</x:v>
      </x:c>
      <x:c r="H11" s="118" t="n">
        <x:v>0.03</x:v>
      </x:c>
      <x:c r="I11" s="118" t="n">
        <x:f>B11*'Optimization Lab'!B15+C11*'Optimization Lab'!B16+D11*'Optimization Lab'!B17+E11*'Optimization Lab'!B18+F11*'Optimization Lab'!B19+G11*'Optimization Lab'!B20+H11*'Optimization Lab'!B21</x:f>
        <x:v>-0.07349999999999998</x:v>
      </x:c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 ht="22" customHeight="1">
      <x:c r="A14" s="99" t="str">
        <x:v>HOW TO USE THIS</x:v>
      </x:c>
      <x:c r="B14" s="99"/>
      <x:c r="C14" s="99"/>
      <x:c r="D14" s="99"/>
      <x:c r="E14" s="99"/>
      <x:c r="F14" s="99"/>
      <x:c r="G14" s="99"/>
      <x:c r="H14" s="99"/>
      <x:c r="I14" s="99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1</x:v>
      </x:c>
      <x:c r="B15" s="81" t="str">
        <x:v>Pick a plausible macro shock.</x:v>
      </x:c>
      <x:c r="C15" s="81" t="str"/>
      <x:c r="D15" s="81" t="str"/>
      <x:c r="E15" s="81" t="str"/>
      <x:c r="F15" s="81" t="str"/>
      <x:c r="G15" s="81" t="str"/>
      <x:c r="H15" s="81" t="str"/>
      <x:c r="I15" s="81" t="str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</x:v>
      </x:c>
      <x:c r="B16" s="81" t="str">
        <x:v>Change the blue scenario inputs in B:H.</x:v>
      </x:c>
      <x:c r="C16" s="81" t="str"/>
      <x:c r="D16" s="81" t="str"/>
      <x:c r="E16" s="81" t="str"/>
      <x:c r="F16" s="81" t="str"/>
      <x:c r="G16" s="81" t="str"/>
      <x:c r="H16" s="81" t="str"/>
      <x:c r="I16" s="81" t="str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3</x:v>
      </x:c>
      <x:c r="B17" s="81" t="str">
        <x:v>Read the portfolio impact in column I.</x:v>
      </x:c>
      <x:c r="C17" s="81" t="str"/>
      <x:c r="D17" s="81" t="str"/>
      <x:c r="E17" s="81" t="str"/>
      <x:c r="F17" s="81" t="str"/>
      <x:c r="G17" s="81" t="str"/>
      <x:c r="H17" s="81" t="str"/>
      <x:c r="I17" s="81" t="str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4</x:v>
      </x:c>
      <x:c r="B18" s="81" t="str">
        <x:v>Ask which hedge or position would cushion the loss.</x:v>
      </x:c>
      <x:c r="C18" s="81" t="str"/>
      <x:c r="D18" s="81" t="str"/>
      <x:c r="E18" s="81" t="str"/>
      <x:c r="F18" s="81" t="str"/>
      <x:c r="G18" s="81" t="str"/>
      <x:c r="H18" s="81" t="str"/>
      <x:c r="I18" s="81" t="str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5</x:v>
      </x:c>
      <x:c r="B19" s="81" t="str">
        <x:v>Remember scenarios are assumptions, not probabilities.</x:v>
      </x:c>
      <x:c r="C19" s="81" t="str"/>
      <x:c r="D19" s="81" t="str"/>
      <x:c r="E19" s="81" t="str"/>
      <x:c r="F19" s="81" t="str"/>
      <x:c r="G19" s="81" t="str"/>
      <x:c r="H19" s="81" t="str"/>
      <x:c r="I19" s="81" t="str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</x:sheetData>
  <x:mergeCells>
    <x:mergeCell ref="A1:I1"/>
    <x:mergeCell ref="A14:I1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46" hidden="0" customWidth="1"/>
    <x:col min="8" max="8" width="30" hidden="0" customWidth="1"/>
    <x:col min="9" max="9" width="16" hidden="0" customWidth="1"/>
    <x:col min="10" max="10" width="15" hidden="0" customWidth="1"/>
  </x:cols>
  <x:sheetData>
    <x:row r="1" ht="28" customHeight="1">
      <x:c r="A1" s="4" t="str">
        <x:v>HYPOTHETICAL TRADE BOOK | RESEARCH IDEAS, NOT LIVE ORDERS</x:v>
      </x:c>
      <x:c r="B1" s="4"/>
      <x:c r="C1" s="4"/>
      <x:c r="D1" s="4"/>
      <x:c r="E1" s="4"/>
      <x:c r="F1" s="4"/>
      <x:c r="G1" s="4"/>
      <x:c r="H1" s="4"/>
      <x:c r="I1" s="4"/>
      <x:c r="J1" s="4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Instrument</x:v>
      </x:c>
      <x:c r="B3" s="16" t="str">
        <x:v>Side</x:v>
      </x:c>
      <x:c r="C3" s="16" t="str">
        <x:v>Spot / Yield</x:v>
      </x:c>
      <x:c r="D3" s="16" t="str">
        <x:v>Target</x:v>
      </x:c>
      <x:c r="E3" s="16" t="str">
        <x:v>Stop / Risk Level</x:v>
      </x:c>
      <x:c r="F3" s="16" t="str">
        <x:v>Weight</x:v>
      </x:c>
      <x:c r="G3" s="16" t="str">
        <x:v>Thesis</x:v>
      </x:c>
      <x:c r="H3" s="16" t="str">
        <x:v>Key Risk</x:v>
      </x:c>
      <x:c r="I3" s="16" t="str">
        <x:v>Status</x:v>
      </x:c>
      <x:c r="J3" s="16" t="str">
        <x:v>Review</x:v>
      </x:c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S&amp;P 500</x:v>
      </x:c>
      <x:c r="B4" s="72" t="str">
        <x:v>Long</x:v>
      </x:c>
      <x:c r="C4" s="72" t="n">
        <x:v>7591.7</x:v>
      </x:c>
      <x:c r="D4" s="72" t="n">
        <x:v>8199</x:v>
      </x:c>
      <x:c r="E4" s="72" t="n">
        <x:v>6984</x:v>
      </x:c>
      <x:c r="F4" s="74" t="n">
        <x:v>0.3</x:v>
      </x:c>
      <x:c r="G4" s="81" t="str">
        <x:v>Positive momentum + resilient growth; regime allows meaningful equity exposure.</x:v>
      </x:c>
      <x:c r="H4" s="81" t="str">
        <x:v>Valuation compression / growth shock</x:v>
      </x:c>
      <x:c r="I4" s="72" t="str">
        <x:v>Hypothetical</x:v>
      </x:c>
      <x:c r="J4" s="72" t="str">
        <x:v>2026-10-01</x:v>
      </x:c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US Small Cap</x:v>
      </x:c>
      <x:c r="B5" s="72" t="str">
        <x:v>Long</x:v>
      </x:c>
      <x:c r="C5" s="72" t="str">
        <x:v>—</x:v>
      </x:c>
      <x:c r="D5" s="72" t="str">
        <x:v>—</x:v>
      </x:c>
      <x:c r="E5" s="72" t="str">
        <x:v>—</x:v>
      </x:c>
      <x:c r="F5" s="74" t="n">
        <x:v>0.1</x:v>
      </x:c>
      <x:c r="G5" s="81" t="str">
        <x:v>Higher beta to domestic growth; small allocation due volatility.</x:v>
      </x:c>
      <x:c r="H5" s="81" t="str">
        <x:v>Recession / financing stress</x:v>
      </x:c>
      <x:c r="I5" s="72" t="str">
        <x:v>Hypothetical</x:v>
      </x:c>
      <x:c r="J5" s="72" t="str">
        <x:v>2026-10-01</x:v>
      </x:c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US 10Y</x:v>
      </x:c>
      <x:c r="B6" s="72" t="str">
        <x:v>Long duration</x:v>
      </x:c>
      <x:c r="C6" s="72" t="n">
        <x:v>0.0467</x:v>
      </x:c>
      <x:c r="D6" s="72" t="n">
        <x:v>0.0417</x:v>
      </x:c>
      <x:c r="E6" s="72" t="n">
        <x:v>0.0542</x:v>
      </x:c>
      <x:c r="F6" s="74" t="n">
        <x:v>0.15</x:v>
      </x:c>
      <x:c r="G6" s="81" t="str">
        <x:v>Diversifier if growth weakens or yields fall.</x:v>
      </x:c>
      <x:c r="H6" s="81" t="str">
        <x:v>Inflation / term premium</x:v>
      </x:c>
      <x:c r="I6" s="72" t="str">
        <x:v>Hypothetical</x:v>
      </x:c>
      <x:c r="J6" s="72" t="str">
        <x:v>2026-10-01</x:v>
      </x:c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Baa Corporate Bond</x:v>
      </x:c>
      <x:c r="B7" s="72" t="str">
        <x:v>Neutral</x:v>
      </x:c>
      <x:c r="C7" s="72" t="str">
        <x:v>—</x:v>
      </x:c>
      <x:c r="D7" s="72" t="str">
        <x:v>—</x:v>
      </x:c>
      <x:c r="E7" s="72" t="str">
        <x:v>—</x:v>
      </x:c>
      <x:c r="F7" s="74" t="n">
        <x:v>0.1</x:v>
      </x:c>
      <x:c r="G7" s="81" t="str">
        <x:v>Carry but credit risk monitored via relative-return signal.</x:v>
      </x:c>
      <x:c r="H7" s="81" t="str">
        <x:v>Spread widening</x:v>
      </x:c>
      <x:c r="I7" s="72" t="str">
        <x:v>Watch</x:v>
      </x:c>
      <x:c r="J7" s="72" t="str">
        <x:v>2026-10-01</x:v>
      </x:c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US Real Estate</x:v>
      </x:c>
      <x:c r="B8" s="72" t="str">
        <x:v>Long</x:v>
      </x:c>
      <x:c r="C8" s="72" t="str">
        <x:v>—</x:v>
      </x:c>
      <x:c r="D8" s="72" t="str">
        <x:v>—</x:v>
      </x:c>
      <x:c r="E8" s="72" t="str">
        <x:v>—</x:v>
      </x:c>
      <x:c r="F8" s="74" t="n">
        <x:v>0.1</x:v>
      </x:c>
      <x:c r="G8" s="81" t="str">
        <x:v>Diversifier with income/real-asset sensitivity.</x:v>
      </x:c>
      <x:c r="H8" s="81" t="str">
        <x:v>Rates / property weakness</x:v>
      </x:c>
      <x:c r="I8" s="72" t="str">
        <x:v>Hypothetical</x:v>
      </x:c>
      <x:c r="J8" s="72" t="str">
        <x:v>2026-10-01</x:v>
      </x:c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str">
        <x:v>Gold</x:v>
      </x:c>
      <x:c r="B9" s="72" t="str">
        <x:v>Long</x:v>
      </x:c>
      <x:c r="C9" s="72"/>
      <x:c r="D9" s="72"/>
      <x:c r="E9" s="72"/>
      <x:c r="F9" s="74" t="n">
        <x:v>0.1</x:v>
      </x:c>
      <x:c r="G9" s="81" t="str">
        <x:v>Inflation / risk diversification sleeve.</x:v>
      </x:c>
      <x:c r="H9" s="81" t="str">
        <x:v>Real-yield rebound</x:v>
      </x:c>
      <x:c r="I9" s="72" t="str">
        <x:v>Hypothetical</x:v>
      </x:c>
      <x:c r="J9" s="72" t="str">
        <x:v>2026-10-01</x:v>
      </x:c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 t="str">
        <x:v>GBP/USD</x:v>
      </x:c>
      <x:c r="B10" s="72" t="str">
        <x:v>Long GBP</x:v>
      </x:c>
      <x:c r="C10" s="72" t="n">
        <x:v>1.3528</x:v>
      </x:c>
      <x:c r="D10" s="72" t="n">
        <x:v>1.4204400000000001</x:v>
      </x:c>
      <x:c r="E10" s="72" t="n">
        <x:v>1.312216</x:v>
      </x:c>
      <x:c r="F10" s="74" t="n">
        <x:v>0</x:v>
      </x:c>
      <x:c r="G10" s="81" t="str">
        <x:v>Monitor rate differential and risk sentiment.</x:v>
      </x:c>
      <x:c r="H10" s="81" t="str">
        <x:v>USD squeeze</x:v>
      </x:c>
      <x:c r="I10" s="72" t="str">
        <x:v>Watchlist</x:v>
      </x:c>
      <x:c r="J10" s="72" t="str">
        <x:v>2026-10-01</x:v>
      </x:c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str">
        <x:v>Brent</x:v>
      </x:c>
      <x:c r="B11" s="72" t="str">
        <x:v>Watch / Hedge</x:v>
      </x:c>
      <x:c r="C11" s="72" t="n">
        <x:v>69.14</x:v>
      </x:c>
      <x:c r="D11" s="72"/>
      <x:c r="E11" s="72"/>
      <x:c r="F11" s="74" t="n">
        <x:v>0</x:v>
      </x:c>
      <x:c r="G11" s="81" t="str">
        <x:v>Macro/inflation signal rather than core return sleeve.</x:v>
      </x:c>
      <x:c r="H11" s="81" t="str">
        <x:v>Demand shock</x:v>
      </x:c>
      <x:c r="I11" s="72" t="str">
        <x:v>Watchlist</x:v>
      </x:c>
      <x:c r="J11" s="72" t="str">
        <x:v>2026-10-01</x:v>
      </x:c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 t="str">
        <x:v>Cash</x:v>
      </x:c>
      <x:c r="B12" s="72" t="str">
        <x:v>Liquidity</x:v>
      </x:c>
      <x:c r="C12" s="72"/>
      <x:c r="D12" s="72"/>
      <x:c r="E12" s="72"/>
      <x:c r="F12" s="74" t="n">
        <x:v>0.15</x:v>
      </x:c>
      <x:c r="G12" s="81" t="str">
        <x:v>Preserves optionality and reduces drawdown.</x:v>
      </x:c>
      <x:c r="H12" s="81" t="str">
        <x:v>Opportunity cost</x:v>
      </x:c>
      <x:c r="I12" s="72" t="str">
        <x:v>Strategic</x:v>
      </x:c>
      <x:c r="J12" s="72" t="str">
        <x:v>2026-10-01</x:v>
      </x:c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34" hidden="0" customWidth="1"/>
    <x:col min="8" max="8" width="42" hidden="0" customWidth="1"/>
  </x:cols>
  <x:sheetData>
    <x:row r="1" ht="28" customHeight="1">
      <x:c r="A1" s="4" t="str">
        <x:v>30-DAY MARKET JOURNAL | PREDICT → RECORD → REVIEW</x:v>
      </x:c>
      <x:c r="B1" s="4"/>
      <x:c r="C1" s="4"/>
      <x:c r="D1" s="4"/>
      <x:c r="E1" s="4"/>
      <x:c r="F1" s="4"/>
      <x:c r="G1" s="4"/>
      <x:c r="H1" s="4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Day</x:v>
      </x:c>
      <x:c r="B3" s="16" t="str">
        <x:v>Date</x:v>
      </x:c>
      <x:c r="C3" s="16" t="str">
        <x:v>Market Regime</x:v>
      </x:c>
      <x:c r="D3" s="16" t="str">
        <x:v>Equities View</x:v>
      </x:c>
      <x:c r="E3" s="16" t="str">
        <x:v>Rates View</x:v>
      </x:c>
      <x:c r="F3" s="16" t="str">
        <x:v>FX View</x:v>
      </x:c>
      <x:c r="G3" s="16" t="str">
        <x:v>Key Event / Catalyst</x:v>
      </x:c>
      <x:c r="H3" s="16" t="str">
        <x:v>End-of-day Review</x:v>
      </x:c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n">
        <x:v>1</x:v>
      </x:c>
      <x:c r="B4" s="90"/>
      <x:c r="C4" s="91"/>
      <x:c r="D4" s="91"/>
      <x:c r="E4" s="91"/>
      <x:c r="F4" s="91"/>
      <x:c r="G4" s="91"/>
      <x:c r="H4" s="91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n">
        <x:v>2</x:v>
      </x:c>
      <x:c r="B5" s="90"/>
      <x:c r="C5" s="91"/>
      <x:c r="D5" s="91"/>
      <x:c r="E5" s="91"/>
      <x:c r="F5" s="91"/>
      <x:c r="G5" s="91"/>
      <x:c r="H5" s="91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n">
        <x:v>3</x:v>
      </x:c>
      <x:c r="B6" s="90"/>
      <x:c r="C6" s="91"/>
      <x:c r="D6" s="91"/>
      <x:c r="E6" s="91"/>
      <x:c r="F6" s="91"/>
      <x:c r="G6" s="91"/>
      <x:c r="H6" s="91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n">
        <x:v>4</x:v>
      </x:c>
      <x:c r="B7" s="90"/>
      <x:c r="C7" s="91"/>
      <x:c r="D7" s="91"/>
      <x:c r="E7" s="91"/>
      <x:c r="F7" s="91"/>
      <x:c r="G7" s="91"/>
      <x:c r="H7" s="91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n">
        <x:v>5</x:v>
      </x:c>
      <x:c r="B8" s="90"/>
      <x:c r="C8" s="91"/>
      <x:c r="D8" s="91"/>
      <x:c r="E8" s="91"/>
      <x:c r="F8" s="91"/>
      <x:c r="G8" s="91"/>
      <x:c r="H8" s="91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n">
        <x:v>6</x:v>
      </x:c>
      <x:c r="B9" s="90"/>
      <x:c r="C9" s="91"/>
      <x:c r="D9" s="91"/>
      <x:c r="E9" s="91"/>
      <x:c r="F9" s="91"/>
      <x:c r="G9" s="91"/>
      <x:c r="H9" s="91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 t="n">
        <x:v>7</x:v>
      </x:c>
      <x:c r="B10" s="90"/>
      <x:c r="C10" s="91"/>
      <x:c r="D10" s="91"/>
      <x:c r="E10" s="91"/>
      <x:c r="F10" s="91"/>
      <x:c r="G10" s="91"/>
      <x:c r="H10" s="91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n">
        <x:v>8</x:v>
      </x:c>
      <x:c r="B11" s="90"/>
      <x:c r="C11" s="91"/>
      <x:c r="D11" s="91"/>
      <x:c r="E11" s="91"/>
      <x:c r="F11" s="91"/>
      <x:c r="G11" s="91"/>
      <x:c r="H11" s="91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 t="n">
        <x:v>9</x:v>
      </x:c>
      <x:c r="B12" s="90"/>
      <x:c r="C12" s="91"/>
      <x:c r="D12" s="91"/>
      <x:c r="E12" s="91"/>
      <x:c r="F12" s="91"/>
      <x:c r="G12" s="91"/>
      <x:c r="H12" s="91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 t="n">
        <x:v>10</x:v>
      </x:c>
      <x:c r="B13" s="90"/>
      <x:c r="C13" s="91"/>
      <x:c r="D13" s="91"/>
      <x:c r="E13" s="91"/>
      <x:c r="F13" s="91"/>
      <x:c r="G13" s="91"/>
      <x:c r="H13" s="91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 t="n">
        <x:v>11</x:v>
      </x:c>
      <x:c r="B14" s="90"/>
      <x:c r="C14" s="91"/>
      <x:c r="D14" s="91"/>
      <x:c r="E14" s="91"/>
      <x:c r="F14" s="91"/>
      <x:c r="G14" s="91"/>
      <x:c r="H14" s="91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 t="n">
        <x:v>12</x:v>
      </x:c>
      <x:c r="B15" s="90"/>
      <x:c r="C15" s="91"/>
      <x:c r="D15" s="91"/>
      <x:c r="E15" s="91"/>
      <x:c r="F15" s="91"/>
      <x:c r="G15" s="91"/>
      <x:c r="H15" s="91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 t="n">
        <x:v>13</x:v>
      </x:c>
      <x:c r="B16" s="90"/>
      <x:c r="C16" s="91"/>
      <x:c r="D16" s="91"/>
      <x:c r="E16" s="91"/>
      <x:c r="F16" s="91"/>
      <x:c r="G16" s="91"/>
      <x:c r="H16" s="91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 t="n">
        <x:v>14</x:v>
      </x:c>
      <x:c r="B17" s="90"/>
      <x:c r="C17" s="91"/>
      <x:c r="D17" s="91"/>
      <x:c r="E17" s="91"/>
      <x:c r="F17" s="91"/>
      <x:c r="G17" s="91"/>
      <x:c r="H17" s="91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 t="n">
        <x:v>15</x:v>
      </x:c>
      <x:c r="B18" s="90"/>
      <x:c r="C18" s="91"/>
      <x:c r="D18" s="91"/>
      <x:c r="E18" s="91"/>
      <x:c r="F18" s="91"/>
      <x:c r="G18" s="91"/>
      <x:c r="H18" s="91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 t="n">
        <x:v>16</x:v>
      </x:c>
      <x:c r="B19" s="90"/>
      <x:c r="C19" s="91"/>
      <x:c r="D19" s="91"/>
      <x:c r="E19" s="91"/>
      <x:c r="F19" s="91"/>
      <x:c r="G19" s="91"/>
      <x:c r="H19" s="91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 t="n">
        <x:v>17</x:v>
      </x:c>
      <x:c r="B20" s="90"/>
      <x:c r="C20" s="91"/>
      <x:c r="D20" s="91"/>
      <x:c r="E20" s="91"/>
      <x:c r="F20" s="91"/>
      <x:c r="G20" s="91"/>
      <x:c r="H20" s="91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 t="n">
        <x:v>18</x:v>
      </x:c>
      <x:c r="B21" s="90"/>
      <x:c r="C21" s="91"/>
      <x:c r="D21" s="91"/>
      <x:c r="E21" s="91"/>
      <x:c r="F21" s="91"/>
      <x:c r="G21" s="91"/>
      <x:c r="H21" s="91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 t="n">
        <x:v>19</x:v>
      </x:c>
      <x:c r="B22" s="90"/>
      <x:c r="C22" s="91"/>
      <x:c r="D22" s="91"/>
      <x:c r="E22" s="91"/>
      <x:c r="F22" s="91"/>
      <x:c r="G22" s="91"/>
      <x:c r="H22" s="91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 t="n">
        <x:v>20</x:v>
      </x:c>
      <x:c r="B23" s="90"/>
      <x:c r="C23" s="91"/>
      <x:c r="D23" s="91"/>
      <x:c r="E23" s="91"/>
      <x:c r="F23" s="91"/>
      <x:c r="G23" s="91"/>
      <x:c r="H23" s="91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 t="n">
        <x:v>21</x:v>
      </x:c>
      <x:c r="B24" s="90"/>
      <x:c r="C24" s="91"/>
      <x:c r="D24" s="91"/>
      <x:c r="E24" s="91"/>
      <x:c r="F24" s="91"/>
      <x:c r="G24" s="91"/>
      <x:c r="H24" s="91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 t="n">
        <x:v>22</x:v>
      </x:c>
      <x:c r="B25" s="90"/>
      <x:c r="C25" s="91"/>
      <x:c r="D25" s="91"/>
      <x:c r="E25" s="91"/>
      <x:c r="F25" s="91"/>
      <x:c r="G25" s="91"/>
      <x:c r="H25" s="91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 t="n">
        <x:v>23</x:v>
      </x:c>
      <x:c r="B26" s="90"/>
      <x:c r="C26" s="91"/>
      <x:c r="D26" s="91"/>
      <x:c r="E26" s="91"/>
      <x:c r="F26" s="91"/>
      <x:c r="G26" s="91"/>
      <x:c r="H26" s="91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 t="n">
        <x:v>24</x:v>
      </x:c>
      <x:c r="B27" s="90"/>
      <x:c r="C27" s="91"/>
      <x:c r="D27" s="91"/>
      <x:c r="E27" s="91"/>
      <x:c r="F27" s="91"/>
      <x:c r="G27" s="91"/>
      <x:c r="H27" s="91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 t="n">
        <x:v>25</x:v>
      </x:c>
      <x:c r="B28" s="90"/>
      <x:c r="C28" s="91"/>
      <x:c r="D28" s="91"/>
      <x:c r="E28" s="91"/>
      <x:c r="F28" s="91"/>
      <x:c r="G28" s="91"/>
      <x:c r="H28" s="91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 t="n">
        <x:v>26</x:v>
      </x:c>
      <x:c r="B29" s="90"/>
      <x:c r="C29" s="91"/>
      <x:c r="D29" s="91"/>
      <x:c r="E29" s="91"/>
      <x:c r="F29" s="91"/>
      <x:c r="G29" s="91"/>
      <x:c r="H29" s="91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 t="n">
        <x:v>27</x:v>
      </x:c>
      <x:c r="B30" s="90"/>
      <x:c r="C30" s="91"/>
      <x:c r="D30" s="91"/>
      <x:c r="E30" s="91"/>
      <x:c r="F30" s="91"/>
      <x:c r="G30" s="91"/>
      <x:c r="H30" s="91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 t="n">
        <x:v>28</x:v>
      </x:c>
      <x:c r="B31" s="90"/>
      <x:c r="C31" s="91"/>
      <x:c r="D31" s="91"/>
      <x:c r="E31" s="91"/>
      <x:c r="F31" s="91"/>
      <x:c r="G31" s="91"/>
      <x:c r="H31" s="91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 t="n">
        <x:v>29</x:v>
      </x:c>
      <x:c r="B32" s="90"/>
      <x:c r="C32" s="91"/>
      <x:c r="D32" s="91"/>
      <x:c r="E32" s="91"/>
      <x:c r="F32" s="91"/>
      <x:c r="G32" s="91"/>
      <x:c r="H32" s="91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 t="n">
        <x:v>30</x:v>
      </x:c>
      <x:c r="B33" s="90"/>
      <x:c r="C33" s="91"/>
      <x:c r="D33" s="91"/>
      <x:c r="E33" s="91"/>
      <x:c r="F33" s="91"/>
      <x:c r="G33" s="91"/>
      <x:c r="H33" s="91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 ht="22" customHeight="1">
      <x:c r="A36" s="28" t="str">
        <x:v>RULE</x:v>
      </x:c>
      <x:c r="B36" s="28"/>
      <x:c r="C36" s="28"/>
      <x:c r="D36" s="28"/>
      <x:c r="E36" s="28"/>
      <x:c r="F36" s="28"/>
      <x:c r="G36" s="28"/>
      <x:c r="H36" s="28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81" t="str">
        <x:v>Write the forecast before seeing the close. At the end of the day, record what happened and whether the thesis was right for the right reason.</x:v>
      </x:c>
      <x:c r="B37" s="81"/>
      <x:c r="C37" s="81"/>
      <x:c r="D37" s="81"/>
      <x:c r="E37" s="81"/>
      <x:c r="F37" s="81"/>
      <x:c r="G37" s="81"/>
      <x:c r="H37" s="81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H1"/>
    <x:mergeCell ref="A36:H36"/>
    <x:mergeCell ref="A37:H3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2" hidden="0" customWidth="1"/>
    <x:col min="5" max="5" width="30" hidden="0" customWidth="1"/>
    <x:col min="6" max="6" width="32" hidden="0" customWidth="1"/>
  </x:cols>
  <x:sheetData>
    <x:row r="1" ht="28" customHeight="1">
      <x:c r="A1" s="4" t="str">
        <x:v>METHODOLOGY | WHAT THE MODEL DOES AND DOES NOT CLAIM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Component</x:v>
      </x:c>
      <x:c r="B3" s="16" t="str">
        <x:v>Rule</x:v>
      </x:c>
      <x:c r="C3" s="16" t="str">
        <x:v>Why</x:v>
      </x:c>
      <x:c r="D3" s="16" t="str">
        <x:v>Main Risk</x:v>
      </x:c>
      <x:c r="E3" s="16" t="str">
        <x:v>Upgrade</x:v>
      </x:c>
      <x:c r="F3" s="16" t="str">
        <x:v>Interview takeaway</x:v>
      </x:c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81" t="str">
        <x:v>Data</x:v>
      </x:c>
      <x:c r="B4" s="81" t="str">
        <x:v>1998–2025 annual total-return proxies; 2000–2025 back-test</x:v>
      </x:c>
      <x:c r="C4" s="81" t="str">
        <x:v>Long enough to include multiple regimes</x:v>
      </x:c>
      <x:c r="D4" s="81" t="str">
        <x:v>Annual frequency is coarse</x:v>
      </x:c>
      <x:c r="E4" s="81" t="str">
        <x:v>Add daily total returns</x:v>
      </x:c>
      <x:c r="F4" s="81" t="str">
        <x:v>History beats anecdotes</x:v>
      </x:c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81" t="str">
        <x:v>Rate signal</x:v>
      </x:c>
      <x:c r="B5" s="81" t="str">
        <x:v>Fed Funds change &gt;25bp</x:v>
      </x:c>
      <x:c r="C5" s="81" t="str">
        <x:v>Tracks tightening/easing</x:v>
      </x:c>
      <x:c r="D5" s="81" t="str">
        <x:v>Policy moves can be endogenous</x:v>
      </x:c>
      <x:c r="E5" s="81" t="str">
        <x:v>Use futures-implied path</x:v>
      </x:c>
      <x:c r="F5" s="81" t="str">
        <x:v>Rates affect valuation + FX</x:v>
      </x:c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81" t="str">
        <x:v>Energy signal</x:v>
      </x:c>
      <x:c r="B6" s="81" t="str">
        <x:v>Brent change &gt;15% / &lt;10%</x:v>
      </x:c>
      <x:c r="C6" s="81" t="str">
        <x:v>Inflation/risk proxy</x:v>
      </x:c>
      <x:c r="D6" s="81" t="str">
        <x:v>Oil has many drivers</x:v>
      </x:c>
      <x:c r="E6" s="81" t="str">
        <x:v>Use inflation surprises</x:v>
      </x:c>
      <x:c r="F6" s="81" t="str">
        <x:v>Macro data needs context</x:v>
      </x:c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81" t="str">
        <x:v>Momentum</x:v>
      </x:c>
      <x:c r="B7" s="81" t="str">
        <x:v>Prior-year S&amp;P &gt;10% / &lt;0</x:v>
      </x:c>
      <x:c r="C7" s="81" t="str">
        <x:v>Simple trend filter</x:v>
      </x:c>
      <x:c r="D7" s="81" t="str">
        <x:v>Can chase trends</x:v>
      </x:c>
      <x:c r="E7" s="81" t="str">
        <x:v>Use rolling momentum</x:v>
      </x:c>
      <x:c r="F7" s="81" t="str">
        <x:v>Signal design matters</x:v>
      </x:c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81" t="str">
        <x:v>Credit</x:v>
      </x:c>
      <x:c r="B8" s="81" t="str">
        <x:v>Baa minus 10Y &gt;1% / &lt;-1%</x:v>
      </x:c>
      <x:c r="C8" s="81" t="str">
        <x:v>Credit-cycle proxy</x:v>
      </x:c>
      <x:c r="D8" s="81" t="str">
        <x:v>Not an OAS measure</x:v>
      </x:c>
      <x:c r="E8" s="81" t="str">
        <x:v>Add spreads/defaults</x:v>
      </x:c>
      <x:c r="F8" s="81" t="str">
        <x:v>Credit is distinct risk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81" t="str">
        <x:v>Regime mapping</x:v>
      </x:c>
      <x:c r="B9" s="81" t="str">
        <x:v>Score → Risk-on / Growth / Balanced / Defensive</x:v>
      </x:c>
      <x:c r="C9" s="81" t="str">
        <x:v>Converts observations into exposure</x:v>
      </x:c>
      <x:c r="D9" s="81" t="str">
        <x:v>Thresholds can be arbitrary</x:v>
      </x:c>
      <x:c r="E9" s="81" t="str">
        <x:v>Cross-validation</x:v>
      </x:c>
      <x:c r="F9" s="81" t="str">
        <x:v>Make rules explicit</x:v>
      </x:c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81" t="str">
        <x:v>Portfolio</x:v>
      </x:c>
      <x:c r="B10" s="81" t="str">
        <x:v>7 sleeves + cash</x:v>
      </x:c>
      <x:c r="C10" s="81" t="str">
        <x:v>Diversifies risk sources</x:v>
      </x:c>
      <x:c r="D10" s="81" t="str">
        <x:v>Correlations change</x:v>
      </x:c>
      <x:c r="E10" s="81" t="str">
        <x:v>Vol targeting</x:v>
      </x:c>
      <x:c r="F10" s="81" t="str">
        <x:v>Risk, not just return</x:v>
      </x:c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81" t="str">
        <x:v>Back-test</x:v>
      </x:c>
      <x:c r="B11" s="81" t="str">
        <x:v>Annual rebalance, prior-year signals</x:v>
      </x:c>
      <x:c r="C11" s="81" t="str">
        <x:v>Avoids look-ahead</x:v>
      </x:c>
      <x:c r="D11" s="81" t="str">
        <x:v>No intrayear execution</x:v>
      </x:c>
      <x:c r="E11" s="81" t="str">
        <x:v>Daily implementation</x:v>
      </x:c>
      <x:c r="F11" s="81" t="str">
        <x:v>Be honest about simplifications</x:v>
      </x:c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81" t="str">
        <x:v>Optimization</x:v>
      </x:c>
      <x:c r="B12" s="81" t="str">
        <x:v>Risk parity / min variance / max Sharpe references</x:v>
      </x:c>
      <x:c r="C12" s="81" t="str">
        <x:v>Shows alternative portfolio construction</x:v>
      </x:c>
      <x:c r="D12" s="81" t="str">
        <x:v>Can overfit sample</x:v>
      </x:c>
      <x:c r="E12" s="81" t="str">
        <x:v>Walk-forward testing</x:v>
      </x:c>
      <x:c r="F12" s="81" t="str">
        <x:v>Several valid answers can exist</x:v>
      </x:c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81" t="str">
        <x:v>Derivatives</x:v>
      </x:c>
      <x:c r="B13" s="81" t="str">
        <x:v>Bond duration; Black-Scholes options</x:v>
      </x:c>
      <x:c r="C13" s="81" t="str">
        <x:v>Adds FICC mechanics</x:v>
      </x:c>
      <x:c r="D13" s="81" t="str">
        <x:v>Simplified assumptions</x:v>
      </x:c>
      <x:c r="E13" s="81" t="str">
        <x:v>Vol surface / forwards</x:v>
      </x:c>
      <x:c r="F13" s="81" t="str">
        <x:v>Know Greeks, not just prices</x:v>
      </x:c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81" t="str">
        <x:v>FX</x:v>
      </x:c>
      <x:c r="B14" s="81" t="str">
        <x:v>Carry + scenario grid</x:v>
      </x:c>
      <x:c r="C14" s="81" t="str">
        <x:v>Separates spot and rate risk</x:v>
      </x:c>
      <x:c r="D14" s="81" t="str">
        <x:v>Basis/funding omitted</x:v>
      </x:c>
      <x:c r="E14" s="81" t="str">
        <x:v>Forward curve</x:v>
      </x:c>
      <x:c r="F14" s="81" t="str">
        <x:v>Currencies are relative prices</x:v>
      </x:c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38" hidden="0" customWidth="1"/>
    <x:col min="4" max="4" width="30" hidden="0" customWidth="1"/>
    <x:col min="5" max="5" width="30" hidden="0" customWidth="1"/>
    <x:col min="6" max="6" width="38" hidden="0" customWidth="1"/>
  </x:cols>
  <x:sheetData>
    <x:row r="1" ht="28" customHeight="1">
      <x:c r="A1" s="98" t="str">
        <x:v>GOLDMAN SACHS FICC &amp; EQUITIES | INTERVIEW PACK</x:v>
      </x:c>
      <x:c r="B1" s="98"/>
      <x:c r="C1" s="98"/>
      <x:c r="D1" s="98"/>
      <x:c r="E1" s="98"/>
      <x:c r="F1" s="98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16" t="str">
        <x:v>Question</x:v>
      </x:c>
      <x:c r="B3" s="16" t="str">
        <x:v>Strong structure</x:v>
      </x:c>
      <x:c r="C3" s="16" t="str">
        <x:v>Evidence from project</x:v>
      </x:c>
      <x:c r="D3" s="16" t="str">
        <x:v>Likely follow-up</x:v>
      </x:c>
      <x:c r="E3" s="16" t="str">
        <x:v>What to avoid</x:v>
      </x:c>
      <x:c r="F3" s="16" t="str">
        <x:v>1-line answer</x:v>
      </x:c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Why FICC &amp; Equities?</x:v>
      </x:c>
      <x:c r="B4" s="81" t="str">
        <x:v>Markets + uncertainty + analytics + clients</x:v>
      </x:c>
      <x:c r="C4" s="81" t="str">
        <x:v>Equities, rates, FX, credit, options</x:v>
      </x:c>
      <x:c r="D4" s="81" t="str">
        <x:v>Why markets rather than accounting?</x:v>
      </x:c>
      <x:c r="E4" s="81" t="str">
        <x:v>“I just like stocks.”</x:v>
      </x:c>
      <x:c r="F4" s="81" t="str">
        <x:v>I enjoy turning changing information into risk-aware decisions.</x:v>
      </x:c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Tell me about your project</x:v>
      </x:c>
      <x:c r="B5" s="81" t="str">
        <x:v>Question → method → result → weakness → next step</x:v>
      </x:c>
      <x:c r="C5" s="81" t="str">
        <x:v>26-year back-test + regime model + risk</x:v>
      </x:c>
      <x:c r="D5" s="81" t="str">
        <x:v>Why annual data?</x:v>
      </x:c>
      <x:c r="E5" s="81" t="str">
        <x:v>Overclaiming predictability</x:v>
      </x:c>
      <x:c r="F5" s="81" t="str">
        <x:v>I built a framework for making decisions under uncertainty.</x:v>
      </x:c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What did you learn from failure?</x:v>
      </x:c>
      <x:c r="B6" s="81" t="str">
        <x:v>2022 downside protection vs later upside capture</x:v>
      </x:c>
      <x:c r="C6" s="81" t="str">
        <x:v>Trade-off visible in back-test</x:v>
      </x:c>
      <x:c r="D6" s="81" t="str">
        <x:v>How would you improve it?</x:v>
      </x:c>
      <x:c r="E6" s="81" t="str">
        <x:v>Pretending model always works</x:v>
      </x:c>
      <x:c r="F6" s="81" t="str">
        <x:v>The cost of reducing drawdown can be missing upside.</x:v>
      </x:c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How do you manage risk?</x:v>
      </x:c>
      <x:c r="B7" s="81" t="str">
        <x:v>Diversification + risk budget + stress test</x:v>
      </x:c>
      <x:c r="C7" s="81" t="str">
        <x:v>Risk contributions + scenario engine</x:v>
      </x:c>
      <x:c r="D7" s="81" t="str">
        <x:v>Why correlation changes?</x:v>
      </x:c>
      <x:c r="E7" s="81" t="str">
        <x:v>Only talking about stop losses</x:v>
      </x:c>
      <x:c r="F7" s="81" t="str">
        <x:v>I size positions around how they behave together.</x:v>
      </x:c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Why add bonds / credit / RE / gold?</x:v>
      </x:c>
      <x:c r="B8" s="81" t="str">
        <x:v>Different economic sensitivities</x:v>
      </x:c>
      <x:c r="C8" s="81" t="str">
        <x:v>7-sleeve portfolio</x:v>
      </x:c>
      <x:c r="D8" s="81" t="str">
        <x:v>Which is best hedge?</x:v>
      </x:c>
      <x:c r="E8" s="81" t="str">
        <x:v>Calling every asset a hedge</x:v>
      </x:c>
      <x:c r="F8" s="81" t="str">
        <x:v>Diversification matters because drivers differ.</x:v>
      </x:c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What is a Greek?</x:v>
      </x:c>
      <x:c r="B9" s="81" t="str">
        <x:v>Sensitivity of option value</x:v>
      </x:c>
      <x:c r="C9" s="81" t="str">
        <x:v>Delta/gamma/vega/theta model</x:v>
      </x:c>
      <x:c r="D9" s="81" t="str">
        <x:v>Which Greek changes most?</x:v>
      </x:c>
      <x:c r="E9" s="81" t="str">
        <x:v>Quoting formulas without intuition</x:v>
      </x:c>
      <x:c r="F9" s="81" t="str">
        <x:v>Greeks show how option value reacts to market variables.</x:v>
      </x:c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What is DV01?</x:v>
      </x:c>
      <x:c r="B10" s="81" t="str">
        <x:v>P&amp;L per 1bp yield move</x:v>
      </x:c>
      <x:c r="C10" s="81" t="str">
        <x:v>Bond Analytics</x:v>
      </x:c>
      <x:c r="D10" s="81" t="str">
        <x:v>Why duration?</x:v>
      </x:c>
      <x:c r="E10" s="81" t="str">
        <x:v>Mixing price/yield signs</x:v>
      </x:c>
      <x:c r="F10" s="81" t="str">
        <x:v>DV01 turns a rate move into a money risk number.</x:v>
      </x:c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Current market view?</x:v>
      </x:c>
      <x:c r="B11" s="81" t="str">
        <x:v>State regime + 2 reasons + 1 risk</x:v>
      </x:c>
      <x:c r="C11" s="81" t="str">
        <x:v>Dashboard / trade book</x:v>
      </x:c>
      <x:c r="D11" s="81" t="str">
        <x:v>What invalidates it?</x:v>
      </x:c>
      <x:c r="E11" s="81" t="str">
        <x:v>Presenting a certainty</x:v>
      </x:c>
      <x:c r="F11" s="81" t="str">
        <x:v>I have a view, but I track what would prove me wrong.</x:v>
      </x:c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Tell me about initiative</x:v>
      </x:c>
      <x:c r="B12" s="81" t="str">
        <x:v>Self-directed build</x:v>
      </x:c>
      <x:c r="C12" s="81" t="str">
        <x:v>Project + 30-day journal</x:v>
      </x:c>
      <x:c r="D12" s="81" t="str">
        <x:v>What did you change?</x:v>
      </x:c>
      <x:c r="E12" s="81" t="str">
        <x:v>“I was told to do it.”</x:v>
      </x:c>
      <x:c r="F12" s="81" t="str">
        <x:v>I built it because I wanted to understand markets more deeply.</x:v>
      </x:c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Why apprenticeship?</x:v>
      </x:c>
      <x:c r="B13" s="81" t="str">
        <x:v>Learn by doing + degree + market exposure</x:v>
      </x:c>
      <x:c r="C13" s="81" t="str">
        <x:v>BSc Applied Finance + desk environment</x:v>
      </x:c>
      <x:c r="D13" s="81" t="str">
        <x:v>Why not university?</x:v>
      </x:c>
      <x:c r="E13" s="81" t="str">
        <x:v>Money-only answer</x:v>
      </x:c>
      <x:c r="F13" s="81" t="str">
        <x:v>I want academic learning immediately applied to real markets.</x:v>
      </x:c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</x:sheetData>
  <x:mergeCells>
    <x:mergeCell ref="A1:F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55" hidden="0" customWidth="1"/>
  </x:cols>
  <x:sheetData>
    <x:row r="1" ht="28" customHeight="1">
      <x:c r="A1" s="98" t="str">
        <x:v>BEGINNER GUIDE | THE ENTIRE PROJECT IN PLAIN ENGLISH</x:v>
      </x:c>
      <x:c r="B1" s="98"/>
      <x:c r="C1" s="98"/>
      <x:c r="D1" s="98"/>
      <x:c r="E1" s="98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16" t="str">
        <x:v>Step</x:v>
      </x:c>
      <x:c r="B3" s="16" t="str">
        <x:v>Plain English</x:v>
      </x:c>
      <x:c r="C3" s="16" t="str">
        <x:v>Why it matters</x:v>
      </x:c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1. The question</x:v>
      </x:c>
      <x:c r="B4" s="81" t="str">
        <x:v>Can economic and market information help decide how much risk to take?</x:v>
      </x:c>
      <x:c r="C4" s="81" t="str">
        <x:v>Instead of guessing, build a repeatable process.</x:v>
      </x:c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2. The inputs</x:v>
      </x:c>
      <x:c r="B5" s="81" t="str">
        <x:v>Interest rates, oil, equity momentum and credit performance</x:v>
      </x:c>
      <x:c r="C5" s="81" t="str">
        <x:v>These are clues about the environment.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3. The signals</x:v>
      </x:c>
      <x:c r="B6" s="81" t="str">
        <x:v>Each clue becomes +1, 0 or -1</x:v>
      </x:c>
      <x:c r="C6" s="81" t="str">
        <x:v>Positive = supportive; negative = caution.</x:v>
      </x:c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4. The regime</x:v>
      </x:c>
      <x:c r="B7" s="81" t="str">
        <x:v>Signals add up to Risk-on, Growth, Balanced or Defensive</x:v>
      </x:c>
      <x:c r="C7" s="81" t="str">
        <x:v>The regime is a simple label for the environment.</x:v>
      </x:c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5. The portfolio</x:v>
      </x:c>
      <x:c r="B8" s="81" t="str">
        <x:v>Each regime maps to different weights across 7 sleeves + cash</x:v>
      </x:c>
      <x:c r="C8" s="81" t="str">
        <x:v>More risk in good regimes; more defence in bad ones.</x:v>
      </x:c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6. The back-test</x:v>
      </x:c>
      <x:c r="B9" s="81" t="str">
        <x:v>Run the exact rules through 2000–2025</x:v>
      </x:c>
      <x:c r="C9" s="81" t="str">
        <x:v>Ask what would have happened historically.</x:v>
      </x:c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7. No cheating</x:v>
      </x:c>
      <x:c r="B10" s="81" t="str">
        <x:v>Use only data that existed before each year</x:v>
      </x:c>
      <x:c r="C10" s="81" t="str">
        <x:v>Otherwise you leak the future into the past.</x:v>
      </x:c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8. Measure return</x:v>
      </x:c>
      <x:c r="B11" s="81" t="str">
        <x:v>Calculate annual return and compounded growth</x:v>
      </x:c>
      <x:c r="C11" s="81" t="str">
        <x:v>This tells you what the strategy earned.</x:v>
      </x:c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9. Measure risk</x:v>
      </x:c>
      <x:c r="B12" s="81" t="str">
        <x:v>Volatility, drawdown, VaR and expected shortfall</x:v>
      </x:c>
      <x:c r="C12" s="81" t="str">
        <x:v>A return is only useful when you know its risk.</x:v>
      </x:c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10. Stress test</x:v>
      </x:c>
      <x:c r="B13" s="81" t="str">
        <x:v>Imagine stocks crash, yields jump or inflation spikes</x:v>
      </x:c>
      <x:c r="C13" s="81" t="str">
        <x:v>Ask what breaks and which sleeve helps.</x:v>
      </x:c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11. Optimise</x:v>
      </x:c>
      <x:c r="B14" s="81" t="str">
        <x:v>Compare risk parity, min variance and max Sharpe</x:v>
      </x:c>
      <x:c r="C14" s="81" t="str">
        <x:v>Different objective functions give different portfolios.</x:v>
      </x:c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12. Derivatives</x:v>
      </x:c>
      <x:c r="B15" s="81" t="str">
        <x:v>Duration, DV01, options Greeks and FX carry</x:v>
      </x:c>
      <x:c r="C15" s="81" t="str">
        <x:v>These translate market moves into price/P&amp;L sensitivities.</x:v>
      </x:c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13. What the project taught</x:v>
      </x:c>
      <x:c r="B16" s="81" t="str">
        <x:v>Risk and return are a trade-off; diversification is imperfect</x:v>
      </x:c>
      <x:c r="C16" s="81" t="str">
        <x:v>Good market thinking includes knowing when your model is wrong.</x:v>
      </x:c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14. What it is not</x:v>
      </x:c>
      <x:c r="B17" s="81" t="str">
        <x:v>It is not a guaranteed trading system or investment recommendation</x:v>
      </x:c>
      <x:c r="C17" s="81" t="str">
        <x:v>It is a structured research exercise.</x:v>
      </x:c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 ht="22" customHeight="1">
      <x:c r="A19" s="99" t="str">
        <x:v>THE 30-SECOND EXPLANATION</x:v>
      </x:c>
      <x:c r="B19" s="99"/>
      <x:c r="C19" s="99"/>
      <x:c r="D19" s="99"/>
      <x:c r="E19" s="99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I built a global macro model that converts a few economic and market observations into a regime, turns that regime into portfolio weights, back-tests the result over 2000–2025, and then checks return, risk, derivatives sensitivities and stress scenarios. The most important lesson is that protecting downside can also mean sacrificing upside.</x:v>
      </x:c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</x:sheetData>
  <x:mergeCells>
    <x:mergeCell ref="A1:E1"/>
    <x:mergeCell ref="A19:E19"/>
    <x:mergeCell ref="A20:E2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6" hidden="0" customWidth="1"/>
    <x:col min="4" max="4" width="12" hidden="0" customWidth="1"/>
  </x:cols>
  <x:sheetData>
    <x:row r="1" ht="28" customHeight="1">
      <x:c r="A1" s="4" t="str">
        <x:v>MODEL AUDIT | INTEGRITY CHECKS</x:v>
      </x:c>
      <x:c r="B1" s="4"/>
      <x:c r="C1" s="4"/>
      <x:c r="D1" s="4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Check</x:v>
      </x:c>
      <x:c r="B3" s="16" t="str">
        <x:v>Result</x:v>
      </x:c>
      <x:c r="C3" s="16" t="str">
        <x:v>Why it matters</x:v>
      </x:c>
      <x:c r="D3" s="16" t="str">
        <x:v>Status</x:v>
      </x:c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Back-test starts 2000</x:v>
      </x:c>
      <x:c r="B4" s="72" t="n">
        <x:f>MIN('Regime Engine'!A4:A29)</x:f>
        <x:v>2000</x:v>
      </x:c>
      <x:c r="C4" s="72" t="str">
        <x:v>1998–1999 are warm-up only</x:v>
      </x:c>
      <x:c r="D4" s="72" t="str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Historical sample length</x:v>
      </x:c>
      <x:c r="B5" s="72" t="str">
        <x:v>26 years</x:v>
      </x:c>
      <x:c r="C5" s="72" t="str">
        <x:v>Enough to include multiple regimes</x:v>
      </x:c>
      <x:c r="D5" s="72" t="str">
        <x:v>PASS</x:v>
      </x:c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Portfolio weights sum to 100%</x:v>
      </x:c>
      <x:c r="B6" s="74" t="n">
        <x:f>SUM('Regime Engine'!N4:T4)</x:f>
        <x:v>1</x:v>
      </x:c>
      <x:c r="C6" s="72" t="str">
        <x:v>No unallocated capital</x:v>
      </x:c>
      <x:c r="D6" s="72" t="str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No look-ahead by construction</x:v>
      </x:c>
      <x:c r="B7" s="72" t="str">
        <x:v>PASS</x:v>
      </x:c>
      <x:c r="C7" s="72" t="str">
        <x:v>Signals use t-1 and t-2 data only</x:v>
      </x:c>
      <x:c r="D7" s="72" t="str">
        <x:v>PASS</x:v>
      </x:c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7 sleeves + cash</x:v>
      </x:c>
      <x:c r="B8" s="72" t="str">
        <x:v>7+cash</x:v>
      </x:c>
      <x:c r="C8" s="72" t="str">
        <x:v>Adds diversification across FICC-like risk sources</x:v>
      </x:c>
      <x:c r="D8" s="72" t="str">
        <x:v>PASS</x:v>
      </x:c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str">
        <x:v>Optimization weights sum to 100%</x:v>
      </x:c>
      <x:c r="B9" s="74" t="n">
        <x:f>SUM('Optimization Lab'!B35:G35)</x:f>
        <x:v>1</x:v>
      </x:c>
      <x:c r="C9" s="72" t="str">
        <x:v>Reference outputs are normalized</x:v>
      </x:c>
      <x:c r="D9" s="72" t="str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 t="str">
        <x:v>Monte Carlo paths</x:v>
      </x:c>
      <x:c r="B10" s="72" t="str">
        <x:v>20,000</x:v>
      </x:c>
      <x:c r="C10" s="72" t="str">
        <x:v>Tail-distribution analysis</x:v>
      </x:c>
      <x:c r="D10" s="72" t="str">
        <x:v>PASS</x:v>
      </x:c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 t="str">
        <x:v>Stress scenarios</x:v>
      </x:c>
      <x:c r="B11" s="72" t="str">
        <x:v>8</x:v>
      </x:c>
      <x:c r="C11" s="72" t="str">
        <x:v>Scenario analysis is not probability</x:v>
      </x:c>
      <x:c r="D11" s="72" t="str">
        <x:v>PASS</x:v>
      </x:c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2" t="str">
        <x:v>Source URLs present</x:v>
      </x:c>
      <x:c r="B12" s="72" t="str">
        <x:v>PASS</x:v>
      </x:c>
      <x:c r="C12" s="72" t="str">
        <x:v>Core historical inputs have row-level URLs</x:v>
      </x:c>
      <x:c r="D12" s="72" t="str">
        <x:v>PASS</x:v>
      </x:c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8" hidden="0" customWidth="1"/>
    <x:col min="4" max="4" width="14" hidden="0" customWidth="1"/>
    <x:col min="5" max="5" width="22" hidden="0" customWidth="1"/>
    <x:col min="6" max="6" width="54" hidden="0" customWidth="1"/>
  </x:cols>
  <x:sheetData>
    <x:row r="1" ht="28" customHeight="1">
      <x:c r="A1" s="4" t="str">
        <x:v>CURRENT SNAPSHOT | 11 SEP 2026 | CONTEXT FOR THE MODEL</x:v>
      </x:c>
      <x:c r="B1" s="4"/>
      <x:c r="C1" s="4"/>
      <x:c r="D1" s="4"/>
      <x:c r="E1" s="4"/>
      <x:c r="F1" s="4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16" t="str">
        <x:v>Metric</x:v>
      </x:c>
      <x:c r="B3" s="16" t="str">
        <x:v>Value</x:v>
      </x:c>
      <x:c r="C3" s="16" t="str">
        <x:v>Unit</x:v>
      </x:c>
      <x:c r="D3" s="16" t="str">
        <x:v>As-of</x:v>
      </x:c>
      <x:c r="E3" s="16" t="str">
        <x:v>Source</x:v>
      </x:c>
      <x:c r="F3" s="16" t="str">
        <x:v>URL</x:v>
      </x:c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 t="str">
        <x:v>S&amp;P 500</x:v>
      </x:c>
      <x:c r="B4" s="75" t="n">
        <x:v>7591.7</x:v>
      </x:c>
      <x:c r="C4" s="72" t="str">
        <x:v>Index</x:v>
      </x:c>
      <x:c r="D4" s="72" t="str">
        <x:v>2026-09-11</x:v>
      </x:c>
      <x:c r="E4" s="72" t="str">
        <x:v>FRED</x:v>
      </x:c>
      <x:c r="F4" s="94" t="str">
        <x:v>https://fred.stlouisfed.org/series/SP500</x:v>
      </x:c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2" t="str">
        <x:v>Fed Funds</x:v>
      </x:c>
      <x:c r="B5" s="75" t="n">
        <x:v>3.63</x:v>
      </x:c>
      <x:c r="C5" s="72" t="str">
        <x:v>%</x:v>
      </x:c>
      <x:c r="D5" s="72" t="str">
        <x:v>Aug 2026</x:v>
      </x:c>
      <x:c r="E5" s="72" t="str">
        <x:v>FRED</x:v>
      </x:c>
      <x:c r="F5" s="94" t="str">
        <x:v>https://fred.stlouisfed.org/series/DFF</x:v>
      </x:c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2" t="str">
        <x:v>US 10Y</x:v>
      </x:c>
      <x:c r="B6" s="75" t="n">
        <x:v>4.67</x:v>
      </x:c>
      <x:c r="C6" s="72" t="str">
        <x:v>%</x:v>
      </x:c>
      <x:c r="D6" s="72" t="str">
        <x:v>2026-09-10</x:v>
      </x:c>
      <x:c r="E6" s="72" t="str">
        <x:v>FRED</x:v>
      </x:c>
      <x:c r="F6" s="94" t="str">
        <x:v>https://fred.stlouisfed.org/series/DGS10</x:v>
      </x:c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2" t="str">
        <x:v>UK Bank Rate</x:v>
      </x:c>
      <x:c r="B7" s="75" t="n">
        <x:v>3.75</x:v>
      </x:c>
      <x:c r="C7" s="72" t="str">
        <x:v>%</x:v>
      </x:c>
      <x:c r="D7" s="72" t="str">
        <x:v>Sep 2026</x:v>
      </x:c>
      <x:c r="E7" s="72" t="str">
        <x:v>Bank of England</x:v>
      </x:c>
      <x:c r="F7" s="94" t="str">
        <x:v>https://www.bankofengland.co.uk/boeapps/database/Bank-Rate.asp</x:v>
      </x:c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2" t="str">
        <x:v>GBP/USD</x:v>
      </x:c>
      <x:c r="B8" s="75" t="n">
        <x:v>1.3528</x:v>
      </x:c>
      <x:c r="C8" s="72" t="str">
        <x:v>USD per GBP</x:v>
      </x:c>
      <x:c r="D8" s="72" t="str">
        <x:v>2026-09-11</x:v>
      </x:c>
      <x:c r="E8" s="72" t="str">
        <x:v>ExchangeRates.org.uk</x:v>
      </x:c>
      <x:c r="F8" s="94" t="str">
        <x:v>https://www.exchangerates.org.uk/GBP-USD-spot-exchange-rates-history-2026.html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 t="str">
        <x:v>Brent annual avg (2025)</x:v>
      </x:c>
      <x:c r="B9" s="75" t="n">
        <x:v>69.14</x:v>
      </x:c>
      <x:c r="C9" s="72" t="str">
        <x:v>$/bbl</x:v>
      </x:c>
      <x:c r="D9" s="72" t="str">
        <x:v>2025</x:v>
      </x:c>
      <x:c r="E9" s="72" t="str">
        <x:v>FRED/EIA</x:v>
      </x:c>
      <x:c r="F9" s="94" t="str">
        <x:v>https://fred.stlouisfed.org/series/DCOILBRENTEU</x:v>
      </x:c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 ht="22" customHeight="1">
      <x:c r="A12" s="28" t="str">
        <x:v>CURRENT MODEL OUTPUT (BASED ON PROJECT RULES)</x:v>
      </x:c>
      <x:c r="B12" s="28"/>
      <x:c r="C12" s="28"/>
      <x:c r="D12" s="28"/>
      <x:c r="E12" s="28"/>
      <x:c r="F12" s="28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95" t="str">
        <x:v>Current regime</x:v>
      </x:c>
      <x:c r="B13" s="81" t="str">
        <x:v>Growth</x:v>
      </x:c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95" t="str">
        <x:v>Current mix</x:v>
      </x:c>
      <x:c r="B14" s="81" t="str">
        <x:v>30% S&amp;P / 10% Small / 15% 10Y / 10% Baa / 10% RE / 10% Gold / 15% Cash</x:v>
      </x:c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95" t="str">
        <x:v>Project stance</x:v>
      </x:c>
      <x:c r="B15" s="81" t="str">
        <x:v>Balanced risk-taking with material liquidity</x:v>
      </x:c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95" t="str">
        <x:v>Primary risk</x:v>
      </x:c>
      <x:c r="B16" s="81" t="str">
        <x:v>Upside inflation / rates shock</x:v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95" t="str">
        <x:v>Hedge logic</x:v>
      </x:c>
      <x:c r="B17" s="81" t="str">
        <x:v>Duration + gold + cash diversify equity risk</x:v>
      </x:c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3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98" t="str">
        <x:v>GLOBAL MACRO TRADING &amp; RISK ENGINE | FICC &amp; EQUITIES RESEARCH PROJECT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64" t="str">
        <x:v>Independent research project designed to demonstrate market curiosity, analytical thinking, portfolio construction and risk management. Historical data: 1998–2025; back-test: 2000–2025.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 ht="22" customHeight="1">
      <x:c r="A5" s="99" t="str">
        <x:v>HEADLINE RESULTS | 2000–2025 BACK-TEST</x:v>
      </x:c>
      <x:c r="B5" s="99"/>
      <x:c r="C5" s="99"/>
      <x:c r="D5" s="99"/>
      <x:c r="E5" s="99"/>
      <x:c r="F5" s="99"/>
      <x:c r="G5" s="99"/>
      <x:c r="H5" s="99"/>
      <x:c r="I5" s="32"/>
      <x:c r="J5" s="99" t="str">
        <x:v>WHY THIS IS INTERESTING</x:v>
      </x:c>
      <x:c r="K5" s="99"/>
      <x:c r="L5" s="99"/>
      <x:c r="M5" s="99"/>
      <x:c r="N5" s="99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 ht="28" customHeight="1">
      <x:c r="A6" s="16" t="str">
        <x:v>Metric</x:v>
      </x:c>
      <x:c r="B6" s="16" t="str">
        <x:v>Value</x:v>
      </x:c>
      <x:c r="C6" s="32"/>
      <x:c r="D6" s="32"/>
      <x:c r="E6" s="32"/>
      <x:c r="F6" s="32"/>
      <x:c r="G6" s="32"/>
      <x:c r="H6" s="32"/>
      <x:c r="I6" s="32"/>
      <x:c r="J6" s="16" t="str">
        <x:v>Finding</x:v>
      </x:c>
      <x:c r="K6" s="16" t="str">
        <x:v>Meaning</x:v>
      </x:c>
      <x:c r="L6" s="16" t="str"/>
      <x:c r="M6" s="16" t="str"/>
      <x:c r="N6" s="16" t="str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 ht="28" customHeight="1">
      <x:c r="A7" s="32" t="str">
        <x:v>Strategy cumulative</x:v>
      </x:c>
      <x:c r="B7" s="100" t="n">
        <x:f>Backtest!B5</x:f>
        <x:v>4.47981427585435</x:v>
      </x:c>
      <x:c r="C7" s="32"/>
      <x:c r="D7" s="32"/>
      <x:c r="E7" s="32"/>
      <x:c r="F7" s="32"/>
      <x:c r="G7" s="32"/>
      <x:c r="H7" s="32"/>
      <x:c r="I7" s="32"/>
      <x:c r="J7" s="32" t="str">
        <x:v>Downside protection</x:v>
      </x:c>
      <x:c r="K7" s="32" t="str">
        <x:v>Strategy max drawdown is materially smaller than S&amp;P in sample.</x:v>
      </x:c>
      <x:c r="L7" s="32" t="str"/>
      <x:c r="M7" s="32" t="str"/>
      <x:c r="N7" s="32" t="str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 ht="28" customHeight="1">
      <x:c r="A8" s="32" t="str">
        <x:v>Strategy CAGR</x:v>
      </x:c>
      <x:c r="B8" s="100" t="n">
        <x:f>Backtest!B6</x:f>
        <x:v>0.06761353425071603</x:v>
      </x:c>
      <x:c r="C8" s="32"/>
      <x:c r="D8" s="32"/>
      <x:c r="E8" s="32"/>
      <x:c r="F8" s="32"/>
      <x:c r="G8" s="32"/>
      <x:c r="H8" s="32"/>
      <x:c r="I8" s="32"/>
      <x:c r="J8" s="32" t="str">
        <x:v>Trade-off</x:v>
      </x:c>
      <x:c r="K8" s="32" t="str">
        <x:v>Lower drawdown comes with lower long-run upside capture.</x:v>
      </x:c>
      <x:c r="L8" s="32" t="str"/>
      <x:c r="M8" s="32" t="str"/>
      <x:c r="N8" s="32" t="str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 ht="28" customHeight="1">
      <x:c r="A9" s="32" t="str">
        <x:v>Strategy volatility</x:v>
      </x:c>
      <x:c r="B9" s="100" t="n">
        <x:f>Backtest!B7</x:f>
        <x:v>0.06920913755700626</x:v>
      </x:c>
      <x:c r="C9" s="32"/>
      <x:c r="D9" s="32"/>
      <x:c r="E9" s="32"/>
      <x:c r="F9" s="32"/>
      <x:c r="G9" s="32"/>
      <x:c r="H9" s="32"/>
      <x:c r="I9" s="32"/>
      <x:c r="J9" s="32" t="str">
        <x:v>Multi-asset</x:v>
      </x:c>
      <x:c r="K9" s="32" t="str">
        <x:v>Portfolio includes rates, credit, real estate, gold and cash alongside equities.</x:v>
      </x:c>
      <x:c r="L9" s="32" t="str"/>
      <x:c r="M9" s="32" t="str"/>
      <x:c r="N9" s="32" t="str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 ht="28" customHeight="1">
      <x:c r="A10" s="32" t="str">
        <x:v>Strategy max drawdown</x:v>
      </x:c>
      <x:c r="B10" s="100" t="n">
        <x:f>Backtest!B8</x:f>
        <x:v>-0.109765</x:v>
      </x:c>
      <x:c r="C10" s="32"/>
      <x:c r="D10" s="32"/>
      <x:c r="E10" s="32"/>
      <x:c r="F10" s="32"/>
      <x:c r="G10" s="32"/>
      <x:c r="H10" s="32"/>
      <x:c r="I10" s="32"/>
      <x:c r="J10" s="32" t="str">
        <x:v>Derivatives</x:v>
      </x:c>
      <x:c r="K10" s="32" t="str">
        <x:v>Bond DV01 and option Greeks translate market moves into sensitivities.</x:v>
      </x:c>
      <x:c r="L10" s="32" t="str"/>
      <x:c r="M10" s="32" t="str"/>
      <x:c r="N10" s="32" t="str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 ht="28" customHeight="1">
      <x:c r="A11" s="32" t="str">
        <x:v>Strategy Sharpe</x:v>
      </x:c>
      <x:c r="B11" s="101" t="n">
        <x:f>Backtest!B9</x:f>
        <x:v>0.7283775870471227</x:v>
      </x:c>
      <x:c r="C11" s="32"/>
      <x:c r="D11" s="32"/>
      <x:c r="E11" s="32"/>
      <x:c r="F11" s="32"/>
      <x:c r="G11" s="32"/>
      <x:c r="H11" s="32"/>
      <x:c r="I11" s="32"/>
      <x:c r="J11" s="32" t="str">
        <x:v>FX</x:v>
      </x:c>
      <x:c r="K11" s="32" t="str">
        <x:v>GBP/USD carry and scenario work adds a relative-value lens.</x:v>
      </x:c>
      <x:c r="L11" s="32" t="str"/>
      <x:c r="M11" s="32" t="str"/>
      <x:c r="N11" s="32" t="str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 ht="28" customHeight="1">
      <x:c r="A12" s="32" t="str">
        <x:v>S&amp;P cumulative</x:v>
      </x:c>
      <x:c r="B12" s="100" t="n">
        <x:f>Backtest!C5</x:f>
        <x:v>6.388152359636893</x:v>
      </x:c>
      <x:c r="C12" s="32"/>
      <x:c r="D12" s="32"/>
      <x:c r="E12" s="32"/>
      <x:c r="F12" s="32"/>
      <x:c r="G12" s="32"/>
      <x:c r="H12" s="32"/>
      <x:c r="I12" s="32"/>
      <x:c r="J12" s="32" t="str">
        <x:v>Robustness</x:v>
      </x:c>
      <x:c r="K12" s="32" t="str">
        <x:v>Optimization, Monte Carlo and stress tests challenge the base case.</x:v>
      </x:c>
      <x:c r="L12" s="32" t="str"/>
      <x:c r="M12" s="32" t="str"/>
      <x:c r="N12" s="32" t="str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 ht="22" customHeight="1">
      <x:c r="A15" s="99" t="str">
        <x:v>MODEL STACK</x:v>
      </x:c>
      <x:c r="B15" s="99"/>
      <x:c r="C15" s="99"/>
      <x:c r="D15" s="99"/>
      <x:c r="E15" s="99"/>
      <x:c r="F15" s="99"/>
      <x:c r="G15" s="99"/>
      <x:c r="H15" s="99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16" t="str">
        <x:v>Layer</x:v>
      </x:c>
      <x:c r="B16" s="16" t="str">
        <x:v>What it does</x:v>
      </x:c>
      <x:c r="C16" s="16" t="str">
        <x:v>Layer</x:v>
      </x:c>
      <x:c r="D16" s="16" t="str">
        <x:v>What it does</x:v>
      </x:c>
      <x:c r="E16" s="16" t="str">
        <x:v>Layer</x:v>
      </x:c>
      <x:c r="F16" s="16" t="str">
        <x:v>What it does</x:v>
      </x:c>
      <x:c r="G16" s="16" t="str">
        <x:v>Layer</x:v>
      </x:c>
      <x:c r="H16" s="16" t="str">
        <x:v>What it does</x:v>
      </x:c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 ht="24" customHeight="1">
      <x:c r="A17" s="32" t="str">
        <x:v>Regime Engine</x:v>
      </x:c>
      <x:c r="B17" s="32" t="str">
        <x:v>Signals → regimes</x:v>
      </x:c>
      <x:c r="C17" s="32" t="str">
        <x:v>Back-test</x:v>
      </x:c>
      <x:c r="D17" s="32" t="str">
        <x:v>Historical performance</x:v>
      </x:c>
      <x:c r="E17" s="32" t="str">
        <x:v>Optimization</x:v>
      </x:c>
      <x:c r="F17" s="32" t="str">
        <x:v>Portfolio construction</x:v>
      </x:c>
      <x:c r="G17" s="32" t="str">
        <x:v>Risk</x:v>
      </x:c>
      <x:c r="H17" s="32" t="str">
        <x:v>VaR / ES / contribution</x:v>
      </x:c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 ht="24" customHeight="1">
      <x:c r="A18" s="32" t="str">
        <x:v>Credit</x:v>
      </x:c>
      <x:c r="B18" s="32" t="str">
        <x:v>Credit cycle</x:v>
      </x:c>
      <x:c r="C18" s="32" t="str">
        <x:v>Bond</x:v>
      </x:c>
      <x:c r="D18" s="32" t="str">
        <x:v>Duration / DV01</x:v>
      </x:c>
      <x:c r="E18" s="32" t="str">
        <x:v>Options</x:v>
      </x:c>
      <x:c r="F18" s="32" t="str">
        <x:v>Black-Scholes Greeks</x:v>
      </x:c>
      <x:c r="G18" s="32" t="str">
        <x:v>FX</x:v>
      </x:c>
      <x:c r="H18" s="32" t="str">
        <x:v>Carry + scenarios</x:v>
      </x:c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 ht="24" customHeight="1">
      <x:c r="A19" s="32" t="str">
        <x:v>Factor</x:v>
      </x:c>
      <x:c r="B19" s="32" t="str">
        <x:v>Beta/correlation</x:v>
      </x:c>
      <x:c r="C19" s="32" t="str">
        <x:v>Stress</x:v>
      </x:c>
      <x:c r="D19" s="32" t="str">
        <x:v>Macro shocks</x:v>
      </x:c>
      <x:c r="E19" s="32" t="str">
        <x:v>Monte Carlo</x:v>
      </x:c>
      <x:c r="F19" s="32" t="str">
        <x:v>Tail distribution</x:v>
      </x:c>
      <x:c r="G19" s="32" t="str">
        <x:v>Journal</x:v>
      </x:c>
      <x:c r="H19" s="32" t="str">
        <x:v>Forecast discipline</x:v>
      </x:c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 ht="24" customHeight="1">
      <x:c r="A20" s="32" t="str">
        <x:v>Trade Book</x:v>
      </x:c>
      <x:c r="B20" s="32" t="str">
        <x:v>Hypothetical ideas</x:v>
      </x:c>
      <x:c r="C20" s="32" t="str">
        <x:v>Interview Pack</x:v>
      </x:c>
      <x:c r="D20" s="32" t="str">
        <x:v>Explain it well</x:v>
      </x:c>
      <x:c r="E20" s="32" t="str">
        <x:v>Beginner Guide</x:v>
      </x:c>
      <x:c r="F20" s="32" t="str">
        <x:v>Understand it</x:v>
      </x:c>
      <x:c r="G20" s="32" t="str">
        <x:v>Diagnostics</x:v>
      </x:c>
      <x:c r="H20" s="32" t="str">
        <x:v>Benchmark analytics</x:v>
      </x:c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 ht="22" customHeight="1">
      <x:c r="A26" s="99" t="str">
        <x:v>TOP INTERVIEW STORIES</x:v>
      </x:c>
      <x:c r="B26" s="99"/>
      <x:c r="C26" s="99"/>
      <x:c r="D26" s="99"/>
      <x:c r="E26" s="99"/>
      <x:c r="F26" s="99"/>
      <x:c r="G26" s="99"/>
      <x:c r="H26" s="99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 ht="26" customHeight="1">
      <x:c r="A27" s="32" t="str">
        <x:v>1</x:v>
      </x:c>
      <x:c r="B27" s="32" t="str">
        <x:v>Built an independent 26-year multi-asset macro back-test without look-ahead.</x:v>
      </x:c>
      <x:c r="C27" s="32" t="str"/>
      <x:c r="D27" s="32" t="str"/>
      <x:c r="E27" s="32" t="str"/>
      <x:c r="F27" s="32" t="str"/>
      <x:c r="G27" s="32" t="str"/>
      <x:c r="H27" s="32" t="str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 ht="26" customHeight="1">
      <x:c r="A28" s="32" t="str">
        <x:v>2</x:v>
      </x:c>
      <x:c r="B28" s="32" t="str">
        <x:v>Found a real trade-off: downside protection versus missing upside in rebounds.</x:v>
      </x:c>
      <x:c r="C28" s="32" t="str"/>
      <x:c r="D28" s="32" t="str"/>
      <x:c r="E28" s="32" t="str"/>
      <x:c r="F28" s="32" t="str"/>
      <x:c r="G28" s="32" t="str"/>
      <x:c r="H28" s="32" t="str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 ht="26" customHeight="1">
      <x:c r="A29" s="32" t="str">
        <x:v>3</x:v>
      </x:c>
      <x:c r="B29" s="32" t="str">
        <x:v>Extended the project beyond returns into risk, credit, rates, options, FX and portfolio optimisation.</x:v>
      </x:c>
      <x:c r="C29" s="32" t="str"/>
      <x:c r="D29" s="32" t="str"/>
      <x:c r="E29" s="32" t="str"/>
      <x:c r="F29" s="32" t="str"/>
      <x:c r="G29" s="32" t="str"/>
      <x:c r="H29" s="32" t="str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 ht="26" customHeight="1">
      <x:c r="A30" s="32" t="str">
        <x:v>4</x:v>
      </x:c>
      <x:c r="B30" s="32" t="str">
        <x:v>Used a 30-day journal to force forecasts to be made before the outcome and reviewed after.</x:v>
      </x:c>
      <x:c r="C30" s="32" t="str"/>
      <x:c r="D30" s="32" t="str"/>
      <x:c r="E30" s="32" t="str"/>
      <x:c r="F30" s="32" t="str"/>
      <x:c r="G30" s="32" t="str"/>
      <x:c r="H30" s="32" t="str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 ht="26" customHeight="1">
      <x:c r="A31" s="32" t="str">
        <x:v>5</x:v>
      </x:c>
      <x:c r="B31" s="32" t="str">
        <x:v>Can explain every model in plain English and identify where it can fail.</x:v>
      </x:c>
      <x:c r="C31" s="32" t="str"/>
      <x:c r="D31" s="32" t="str"/>
      <x:c r="E31" s="32" t="str"/>
      <x:c r="F31" s="32" t="str"/>
      <x:c r="G31" s="32" t="str"/>
      <x:c r="H31" s="32" t="str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N1"/>
    <x:mergeCell ref="A3:N3"/>
    <x:mergeCell ref="A5:H5"/>
    <x:mergeCell ref="J5:N5"/>
    <x:mergeCell ref="A15:H15"/>
    <x:mergeCell ref="A26:H26"/>
    <x:mergeCell ref="B27:H27"/>
    <x:mergeCell ref="B28:H28"/>
    <x:mergeCell ref="B29:H29"/>
    <x:mergeCell ref="B30:H30"/>
    <x:mergeCell ref="B31:H31"/>
  </x:mergeCells>
  <x:pageMargins left="0.7" right="0.7" top="0.75" bottom="0.75" header="0.3" footer="0.3"/>
  <x:drawing xmlns:r="http://schemas.openxmlformats.org/officeDocument/2006/relationships" r:id="R3222b22de4a84498"/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65" hidden="0" customWidth="1"/>
    <x:col min="4" max="4" width="46" hidden="0" customWidth="1"/>
  </x:cols>
  <x:sheetData>
    <x:row r="1" ht="28" customHeight="1">
      <x:c r="A1" s="4" t="str">
        <x:v>SOURCES | DATA, METHODOLOGY &amp; PROGRAMME CONTEXT</x:v>
      </x:c>
      <x:c r="B1" s="4"/>
      <x:c r="C1" s="4"/>
      <x:c r="D1" s="4"/>
    </x:row>
    <x:row r="3">
      <x:c r="A3" s="16" t="str">
        <x:v>Source</x:v>
      </x:c>
      <x:c r="B3" s="16" t="str">
        <x:v>Used for</x:v>
      </x:c>
      <x:c r="C3" s="16" t="str">
        <x:v>URL</x:v>
      </x:c>
      <x:c r="D3" s="16" t="str">
        <x:v>Notes</x:v>
      </x:c>
    </x:row>
    <x:row r="4">
      <x:c r="A4" s="32" t="str">
        <x:v>Damodaran historical returns</x:v>
      </x:c>
      <x:c r="B4" s="32" t="str">
        <x:v>S&amp;P 500, Small Cap, bonds, real estate, gold, T-bills</x:v>
      </x:c>
      <x:c r="C4" s="32" t="str">
        <x:v>https://pages.stern.nyu.edu/~adamodar/New_Home_Page/datafile/histretSP.html</x:v>
      </x:c>
      <x:c r="D4" s="32" t="str">
        <x:v>Annual historical return series; updated Jan 2026</x:v>
      </x:c>
    </x:row>
    <x:row r="5">
      <x:c r="A5" s="32" t="str">
        <x:v>FRED RIFSPFFNA</x:v>
      </x:c>
      <x:c r="B5" s="32" t="str">
        <x:v>Fed Funds annual history</x:v>
      </x:c>
      <x:c r="C5" s="32" t="str">
        <x:v>https://fred.stlouisfed.org/series/RIFSPFFNA</x:v>
      </x:c>
      <x:c r="D5" s="32" t="str">
        <x:v>Annual effective rate</x:v>
      </x:c>
    </x:row>
    <x:row r="6">
      <x:c r="A6" s="32" t="str">
        <x:v>FRED / EIA Brent</x:v>
      </x:c>
      <x:c r="B6" s="32" t="str">
        <x:v>Brent crude annual history</x:v>
      </x:c>
      <x:c r="C6" s="32" t="str">
        <x:v>https://fred.stlouisfed.org/series/DCOILBRENTEU</x:v>
      </x:c>
      <x:c r="D6" s="32" t="str">
        <x:v>Annual average / daily series source</x:v>
      </x:c>
    </x:row>
    <x:row r="7">
      <x:c r="A7" s="32" t="str">
        <x:v>FRED SP500</x:v>
      </x:c>
      <x:c r="B7" s="32" t="str">
        <x:v>Current S&amp;P snapshot</x:v>
      </x:c>
      <x:c r="C7" s="32" t="str">
        <x:v>https://fred.stlouisfed.org/series/SP500</x:v>
      </x:c>
      <x:c r="D7" s="32" t="str">
        <x:v>Current reference only</x:v>
      </x:c>
    </x:row>
    <x:row r="8">
      <x:c r="A8" s="32" t="str">
        <x:v>FRED DFF</x:v>
      </x:c>
      <x:c r="B8" s="32" t="str">
        <x:v>Current Fed Funds</x:v>
      </x:c>
      <x:c r="C8" s="32" t="str">
        <x:v>https://fred.stlouisfed.org/series/DFF</x:v>
      </x:c>
      <x:c r="D8" s="32" t="str">
        <x:v>Current reference only</x:v>
      </x:c>
    </x:row>
    <x:row r="9">
      <x:c r="A9" s="32" t="str">
        <x:v>FRED DGS10</x:v>
      </x:c>
      <x:c r="B9" s="32" t="str">
        <x:v>Current US 10Y</x:v>
      </x:c>
      <x:c r="C9" s="32" t="str">
        <x:v>https://fred.stlouisfed.org/series/DGS10</x:v>
      </x:c>
      <x:c r="D9" s="32" t="str">
        <x:v>Current reference only</x:v>
      </x:c>
    </x:row>
    <x:row r="10">
      <x:c r="A10" s="32" t="str">
        <x:v>Bank of England</x:v>
      </x:c>
      <x:c r="B10" s="32" t="str">
        <x:v>UK Bank Rate</x:v>
      </x:c>
      <x:c r="C10" s="32" t="str">
        <x:v>https://www.bankofengland.co.uk/boeapps/database/Bank-Rate.asp</x:v>
      </x:c>
      <x:c r="D10" s="32" t="str">
        <x:v>Current reference only</x:v>
      </x:c>
    </x:row>
    <x:row r="11">
      <x:c r="A11" s="32" t="str">
        <x:v>ExchangeRates.org.uk</x:v>
      </x:c>
      <x:c r="B11" s="32" t="str">
        <x:v>GBP/USD reference</x:v>
      </x:c>
      <x:c r="C11" s="32" t="str">
        <x:v>https://www.exchangerates.org.uk/GBP-USD-spot-exchange-rates-history-2026.html</x:v>
      </x:c>
      <x:c r="D11" s="32" t="str">
        <x:v>Current reference only</x:v>
      </x:c>
    </x:row>
    <x:row r="12">
      <x:c r="A12" s="32" t="str">
        <x:v>Goldman Sachs FICC &amp; Equities</x:v>
      </x:c>
      <x:c r="B12" s="32" t="str">
        <x:v>Programme/role context</x:v>
      </x:c>
      <x:c r="C12" s="32" t="str">
        <x:v>https://www.goldmansachs.com/careers/our-firm/FICC-and-equities</x:v>
      </x:c>
      <x:c r="D12" s="32" t="str">
        <x:v>FICC &amp; Equities is Sales &amp; Trading; markets, analytics, clients</x:v>
      </x:c>
    </x:row>
    <x:row r="13">
      <x:c r="A13" s="32" t="str">
        <x:v>Goldman Sachs Degree Apprenticeships</x:v>
      </x:c>
      <x:c r="B13" s="32" t="str">
        <x:v>Apprenticeship structure</x:v>
      </x:c>
      <x:c r="C13" s="32" t="str">
        <x:v>https://www.goldmansachs.com/careers/students/programs-and-internships/emea/degree-apprentices</x:v>
      </x:c>
      <x:c r="D13" s="32" t="str">
        <x:v>2027 programme: four-year degree apprenticeship / Applied Finance</x:v>
      </x:c>
    </x:row>
  </x:sheetData>
  <x:mergeCells>
    <x:mergeCell ref="A1:D1"/>
  </x:mergeCells>
  <x:pageMargins left="0.7" right="0.7" top="0.75" bottom="0.75" header="0.3" footer="0.3"/>
</x:worksheet>
</file>